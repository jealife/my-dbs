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gitalbusinessschool/Library/CloudStorage/OneDrive-Personnel/DIGITAL BUSINESS SCHOOL/BULLETINS/BULLETIN 2022-2023/"/>
    </mc:Choice>
  </mc:AlternateContent>
  <xr:revisionPtr revIDLastSave="0" documentId="8_{9890666E-01F7-9C4A-8B60-6893B6245E6D}" xr6:coauthVersionLast="47" xr6:coauthVersionMax="47" xr10:uidLastSave="{00000000-0000-0000-0000-000000000000}"/>
  <bookViews>
    <workbookView xWindow="320" yWindow="500" windowWidth="28480" windowHeight="17500" activeTab="5" xr2:uid="{E4A4018F-DF69-B549-B0C1-F6663DB86912}"/>
  </bookViews>
  <sheets>
    <sheet name="S1" sheetId="1" r:id="rId1"/>
    <sheet name="S2" sheetId="3" r:id="rId2"/>
    <sheet name="S3" sheetId="4" r:id="rId3"/>
    <sheet name="S4" sheetId="5" r:id="rId4"/>
    <sheet name="S5" sheetId="6" r:id="rId5"/>
    <sheet name="S6" sheetId="7" r:id="rId6"/>
  </sheets>
  <definedNames>
    <definedName name="_xlnm.Print_Area" localSheetId="0">'S1'!#REF!</definedName>
    <definedName name="_xlnm.Print_Area" localSheetId="1">'S2'!#REF!</definedName>
    <definedName name="_xlnm.Print_Area" localSheetId="2">'S3'!#REF!</definedName>
    <definedName name="_xlnm.Print_Area" localSheetId="3">'S4'!#REF!</definedName>
    <definedName name="_xlnm.Print_Area" localSheetId="4">'S5'!#REF!</definedName>
    <definedName name="_xlnm.Print_Area" localSheetId="5">'S6'!#REF!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7" l="1"/>
  <c r="B39" i="7"/>
  <c r="H34" i="7"/>
  <c r="H35" i="7"/>
  <c r="H23" i="7"/>
  <c r="H25" i="7"/>
  <c r="H17" i="7"/>
  <c r="H14" i="7"/>
  <c r="H13" i="7"/>
  <c r="H12" i="7"/>
  <c r="B37" i="7" s="1"/>
  <c r="H33" i="7"/>
  <c r="H31" i="6"/>
  <c r="H36" i="6"/>
  <c r="H32" i="6"/>
  <c r="H30" i="6"/>
  <c r="H25" i="6"/>
  <c r="H23" i="6"/>
  <c r="H24" i="6"/>
  <c r="H20" i="6"/>
  <c r="H19" i="6"/>
  <c r="H14" i="6"/>
  <c r="H13" i="6"/>
  <c r="H12" i="6"/>
  <c r="B42" i="6" s="1"/>
  <c r="H12" i="5"/>
  <c r="B43" i="5" s="1"/>
  <c r="H12" i="4"/>
  <c r="B42" i="4" s="1"/>
  <c r="H35" i="4"/>
  <c r="H37" i="3"/>
  <c r="H19" i="3"/>
  <c r="H18" i="3"/>
  <c r="H17" i="3"/>
  <c r="H14" i="3"/>
  <c r="H13" i="3"/>
  <c r="H12" i="3"/>
  <c r="B39" i="3" s="1"/>
  <c r="H34" i="1"/>
  <c r="H33" i="1"/>
  <c r="H38" i="1"/>
  <c r="H37" i="1"/>
  <c r="H28" i="1"/>
  <c r="H25" i="1"/>
  <c r="H24" i="1"/>
  <c r="H23" i="1"/>
  <c r="H20" i="1"/>
  <c r="H19" i="1"/>
  <c r="H18" i="1"/>
  <c r="H17" i="1"/>
  <c r="H13" i="1"/>
  <c r="H12" i="1"/>
  <c r="B40" i="1" s="1"/>
  <c r="H14" i="1"/>
  <c r="H15" i="6"/>
  <c r="B44" i="6"/>
  <c r="H40" i="6"/>
  <c r="H39" i="6"/>
  <c r="H35" i="6"/>
  <c r="H29" i="6"/>
  <c r="H28" i="6"/>
  <c r="H16" i="6"/>
  <c r="H29" i="5"/>
  <c r="H23" i="5"/>
  <c r="H28" i="5"/>
  <c r="B45" i="5"/>
  <c r="H41" i="5"/>
  <c r="H40" i="5"/>
  <c r="H37" i="5"/>
  <c r="H36" i="5"/>
  <c r="H33" i="5"/>
  <c r="H32" i="5"/>
  <c r="H27" i="5"/>
  <c r="H26" i="5"/>
  <c r="H20" i="5"/>
  <c r="H19" i="5"/>
  <c r="H18" i="5"/>
  <c r="H15" i="5"/>
  <c r="H14" i="5"/>
  <c r="H13" i="5"/>
  <c r="B44" i="4"/>
  <c r="H31" i="4"/>
  <c r="H14" i="4"/>
  <c r="H40" i="4"/>
  <c r="H39" i="4"/>
  <c r="H36" i="4"/>
  <c r="H32" i="4"/>
  <c r="H30" i="4"/>
  <c r="H29" i="4"/>
  <c r="H26" i="4"/>
  <c r="H25" i="4"/>
  <c r="H24" i="4"/>
  <c r="H21" i="4"/>
  <c r="H20" i="4"/>
  <c r="H19" i="4"/>
  <c r="H18" i="4"/>
  <c r="H15" i="4"/>
  <c r="H13" i="4"/>
  <c r="B41" i="3"/>
  <c r="H36" i="3"/>
  <c r="H33" i="3"/>
  <c r="H32" i="3"/>
  <c r="H29" i="3"/>
  <c r="H28" i="3"/>
  <c r="H27" i="3"/>
  <c r="H24" i="3"/>
  <c r="H23" i="3"/>
  <c r="H22" i="3"/>
  <c r="B42" i="1"/>
  <c r="H30" i="1"/>
  <c r="H29" i="1"/>
  <c r="H30" i="7"/>
  <c r="H26" i="7"/>
  <c r="H24" i="7"/>
  <c r="H20" i="7"/>
  <c r="H19" i="7"/>
  <c r="H18" i="7"/>
</calcChain>
</file>

<file path=xl/sharedStrings.xml><?xml version="1.0" encoding="utf-8"?>
<sst xmlns="http://schemas.openxmlformats.org/spreadsheetml/2006/main" count="444" uniqueCount="160">
  <si>
    <t>ANNEE ACADEMIQUE 2019 - 2020</t>
  </si>
  <si>
    <t>ADMIS</t>
  </si>
  <si>
    <t>RELEVE DE NOTES</t>
  </si>
  <si>
    <t>NOM : NTOUTOUME</t>
  </si>
  <si>
    <t>SEMESTRE :</t>
  </si>
  <si>
    <t>PRENOM : VINCENT JR</t>
  </si>
  <si>
    <t>PARCOURS</t>
  </si>
  <si>
    <t>LICENCE</t>
  </si>
  <si>
    <t>OPTION:   TRONC COMMUN COMMUNICATION DIGITALE</t>
  </si>
  <si>
    <t>NIVEAU :</t>
  </si>
  <si>
    <t xml:space="preserve">1ère Année </t>
  </si>
  <si>
    <t>MATIERES</t>
  </si>
  <si>
    <t>NOTES D'EVALUATIONS</t>
  </si>
  <si>
    <t>NOTE EXAMEN</t>
  </si>
  <si>
    <t>CREDITS /MATIERE</t>
  </si>
  <si>
    <t>CREDITS ACQUIS</t>
  </si>
  <si>
    <t>MOYENNE SEMESTRE</t>
  </si>
  <si>
    <t>RESULTATS</t>
  </si>
  <si>
    <t>N1</t>
  </si>
  <si>
    <t>N2</t>
  </si>
  <si>
    <t>N3</t>
  </si>
  <si>
    <t xml:space="preserve">UE 1 : BUSINESS                                                                                                                  </t>
  </si>
  <si>
    <t xml:space="preserve">Technique d'expression </t>
  </si>
  <si>
    <t>Management</t>
  </si>
  <si>
    <t>Comptabilité</t>
  </si>
  <si>
    <t xml:space="preserve">Environnement Informatique </t>
  </si>
  <si>
    <t xml:space="preserve">UE 2 : MARKETING   </t>
  </si>
  <si>
    <t xml:space="preserve">Initiation au Marketing </t>
  </si>
  <si>
    <t xml:space="preserve">Marketing Digital </t>
  </si>
  <si>
    <t>Marketing opérationnel</t>
  </si>
  <si>
    <t xml:space="preserve">Médias et réseaux sociaux </t>
  </si>
  <si>
    <t xml:space="preserve">Culture digitale </t>
  </si>
  <si>
    <t>Méthodologie de rédaction du projet tutoré</t>
  </si>
  <si>
    <t>MOYENNE GENERALE (/20)</t>
  </si>
  <si>
    <t>RESULTAT GENERAL</t>
  </si>
  <si>
    <t>NOMBRE DE CREDITS ACQUIS</t>
  </si>
  <si>
    <t>APPRECIATION</t>
  </si>
  <si>
    <t>Visa Responsable Pédagogique</t>
  </si>
  <si>
    <t>Le Directeur Général</t>
  </si>
  <si>
    <t>VALIDÉ</t>
  </si>
  <si>
    <t>Docteur MOUSSONE Emmanuel</t>
  </si>
  <si>
    <t>Monsieur ONDIAS SOUNA Luck Harley</t>
  </si>
  <si>
    <t>RANG ÉTUDIANT :</t>
  </si>
  <si>
    <t>6ème</t>
  </si>
  <si>
    <t>ONDIAS SOUNA Luck Harley</t>
  </si>
  <si>
    <t>Social Ads</t>
  </si>
  <si>
    <t>Fait à Libreville, le 20/01/2020</t>
  </si>
  <si>
    <t>Google Analytics</t>
  </si>
  <si>
    <t>Photoshop niveau 1</t>
  </si>
  <si>
    <t>Illustrator niveau 1</t>
  </si>
  <si>
    <t>Audit ergonomique</t>
  </si>
  <si>
    <t>UE 4 : GRAPHIC DESIGN</t>
  </si>
  <si>
    <t>UE 5: WEB DEVELOPPEMENT</t>
  </si>
  <si>
    <t>Initiation à la programmation web</t>
  </si>
  <si>
    <t>HTML/CSS</t>
  </si>
  <si>
    <t>UE 3 : INFORMATIQUE/OUTIL DE GESTION</t>
  </si>
  <si>
    <t>Programmation web</t>
  </si>
  <si>
    <t>UE 6: CULTURE FILMIQUE &amp; AUDIOVISUEL</t>
  </si>
  <si>
    <t>Culture filmique</t>
  </si>
  <si>
    <t>Réalisation audiovisuelle</t>
  </si>
  <si>
    <t xml:space="preserve">UE 7 : VIDEO COMPOSITING                                                                                                                  </t>
  </si>
  <si>
    <t>Animation 2D/3D</t>
  </si>
  <si>
    <t>Adobe Première Pro - niveau 1</t>
  </si>
  <si>
    <t xml:space="preserve">UE 8 : COMMUNICATION  </t>
  </si>
  <si>
    <t>Communication d'entreprise</t>
  </si>
  <si>
    <t>Technique de communication</t>
  </si>
  <si>
    <t>Média training</t>
  </si>
  <si>
    <t>UE 9 : INFORMATIQUE/OUTIL DE GESTION</t>
  </si>
  <si>
    <t>Bureautique / Microsoft Office</t>
  </si>
  <si>
    <t>Audit ergonomique/Interface Design</t>
  </si>
  <si>
    <t>8ème</t>
  </si>
  <si>
    <t>Fait à Libreville, le 25/07/2020</t>
  </si>
  <si>
    <t>UE 10 : GRAPHIC DESIGN</t>
  </si>
  <si>
    <t>UE 11 : WEB DEVELOPPEMENT</t>
  </si>
  <si>
    <t>UE 12 : CULTURE FILMIQUE &amp; AUDIOVISUEL</t>
  </si>
  <si>
    <t xml:space="preserve">2ème Année </t>
  </si>
  <si>
    <t>Management de l'innovation</t>
  </si>
  <si>
    <t>Anglais</t>
  </si>
  <si>
    <t>Propriété intellectuelle</t>
  </si>
  <si>
    <t>Marketing des services</t>
  </si>
  <si>
    <t>Marketing stratégique</t>
  </si>
  <si>
    <t xml:space="preserve">UE 2 : CONTENT MARKETING   </t>
  </si>
  <si>
    <t>Rédaction de contenu</t>
  </si>
  <si>
    <t>Technique d'écriture &amp; blogging</t>
  </si>
  <si>
    <t>Droit numérique &amp; E-reputation</t>
  </si>
  <si>
    <t>UE 3 : COMMUNICATION</t>
  </si>
  <si>
    <t>Droit de la communication</t>
  </si>
  <si>
    <t>Politique et stratégie de communication</t>
  </si>
  <si>
    <t>Stratégie éditoriale</t>
  </si>
  <si>
    <t>Photoshop niveau 2</t>
  </si>
  <si>
    <t>Illustrator niveau 2</t>
  </si>
  <si>
    <t>Audit ergonomique - UX/UI Design</t>
  </si>
  <si>
    <t>CMS &amp; No code</t>
  </si>
  <si>
    <t>Adobe Première Pro - niveau 2</t>
  </si>
  <si>
    <t>ANNEE ACADEMIQUE 2020 - 2021</t>
  </si>
  <si>
    <t>9ème</t>
  </si>
  <si>
    <t>Fait à Libreville, le 24/01/2021</t>
  </si>
  <si>
    <t xml:space="preserve">UE 7 : ACQUISITION DE TRAFIC                                                                                                                  </t>
  </si>
  <si>
    <t>Trafic management</t>
  </si>
  <si>
    <t>Référencement naturel (SEO) - niveau 2</t>
  </si>
  <si>
    <t>Référencement payant (SEA) - niveau 2</t>
  </si>
  <si>
    <t>UE 8 : SOCIAL MEDIA</t>
  </si>
  <si>
    <t>Usage et sociologie des réseaux sociaux</t>
  </si>
  <si>
    <t>Social media marketing</t>
  </si>
  <si>
    <t>Community management</t>
  </si>
  <si>
    <t>UE 9 : CYBER SÉCURITÉ</t>
  </si>
  <si>
    <t>Introduction à la cyber sécurité</t>
  </si>
  <si>
    <t>UE 13 : PROJET PROFESSIONNEL</t>
  </si>
  <si>
    <t>Gestion de projet</t>
  </si>
  <si>
    <t>Gestion de projet &amp; méthodologie de travail</t>
  </si>
  <si>
    <t>Semaines intensives / Ateliers numériques</t>
  </si>
  <si>
    <t>UE 12 : RÉALISATION AUDIOVISUELLE</t>
  </si>
  <si>
    <t xml:space="preserve">UE 1 : MARKETING DIGITAL                                                                                                                  </t>
  </si>
  <si>
    <t>Marketing mobile</t>
  </si>
  <si>
    <t>Monétique &amp; mobile payment</t>
  </si>
  <si>
    <t>Social &amp; Google Ads</t>
  </si>
  <si>
    <t>UE 2 : TRANSFORMATION DIGITALE</t>
  </si>
  <si>
    <t>Introduction à la transformation digitale</t>
  </si>
  <si>
    <t>Design thinking</t>
  </si>
  <si>
    <t>Communication de crise</t>
  </si>
  <si>
    <t>Relation publique &amp; 2.0</t>
  </si>
  <si>
    <t>Display &amp; Rich media</t>
  </si>
  <si>
    <t>Photoshop niveau 3</t>
  </si>
  <si>
    <t>Illustrator niveau 3</t>
  </si>
  <si>
    <t>Indesign - niveau 1</t>
  </si>
  <si>
    <t>Indesign niveau 2</t>
  </si>
  <si>
    <t>UE 5: RÉALISATION AUDIOVISUELLE</t>
  </si>
  <si>
    <t>Adobe Première Pro - niveau 3</t>
  </si>
  <si>
    <t>Animation 2D/3D - niveau 2</t>
  </si>
  <si>
    <t>Animation 2D/3D - niveau 3</t>
  </si>
  <si>
    <t>UE 4 : GRAPHIC DESIGN &amp; UX</t>
  </si>
  <si>
    <t>UX/UI design</t>
  </si>
  <si>
    <t>UE 6: PROJET PROFESSIONNEL</t>
  </si>
  <si>
    <t>Stage fin d'étude</t>
  </si>
  <si>
    <t>Comportement du consommateur &amp; étude de cas</t>
  </si>
  <si>
    <t>Leadership &amp; entrepreneuriat</t>
  </si>
  <si>
    <t>ANNEE ACADEMIQUE 2021 - 2022</t>
  </si>
  <si>
    <t>Fait à Libreville, le 30/07/2021</t>
  </si>
  <si>
    <t>Fait à Libreville, le 22/01/2022</t>
  </si>
  <si>
    <t>Fait à Libreville, le 10/07/2022</t>
  </si>
  <si>
    <t>Soutenance</t>
  </si>
  <si>
    <t xml:space="preserve">UE 7 : TRANSFORMATION DIGITALE                                                                                                                  </t>
  </si>
  <si>
    <t>Outils digitaux &amp; plateforme collaborative</t>
  </si>
  <si>
    <t>Management de projet innovant</t>
  </si>
  <si>
    <t>Méthode AGILE</t>
  </si>
  <si>
    <t>UE 8 : BIG DATA &amp; AI</t>
  </si>
  <si>
    <t>Introduction à l'intelligence artificielle</t>
  </si>
  <si>
    <t>Gestion de base de données &amp; Cloud</t>
  </si>
  <si>
    <t>Leadership</t>
  </si>
  <si>
    <t>Adobe Premier Pro - niveau 3</t>
  </si>
  <si>
    <t>Initiation à After Effect - niveau 1</t>
  </si>
  <si>
    <t>Motion design</t>
  </si>
  <si>
    <t>UE 9 : VIDEO COMPOSITING</t>
  </si>
  <si>
    <t>7ème</t>
  </si>
  <si>
    <t>3ème</t>
  </si>
  <si>
    <t>UE 10 : APPROCHE PRATIQUE</t>
  </si>
  <si>
    <t>UE 11 : PROJET TUTORE</t>
  </si>
  <si>
    <t>Semaines intensives/Ateliers numériques</t>
  </si>
  <si>
    <t xml:space="preserve">3ème Année </t>
  </si>
  <si>
    <t>OPTION: COMMUNICATION 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</si>
</sst>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rgb="FFFFC000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 tint="-0.14999847407452621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name val="Arial"/>
      <family val="2"/>
    </font>
    <font>
      <b/>
      <sz val="18"/>
      <color rgb="FF30281C"/>
      <name val="Arial"/>
      <family val="2"/>
    </font>
    <font>
      <b/>
      <sz val="16"/>
      <color rgb="FF30281C"/>
      <name val="Arial"/>
      <family val="2"/>
    </font>
    <font>
      <b/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7" xfId="0" applyFont="1" applyBorder="1" applyAlignment="1">
      <alignment horizont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2" fontId="21" fillId="0" borderId="2" xfId="0" applyNumberFormat="1" applyFont="1" applyBorder="1" applyAlignment="1">
      <alignment horizontal="left" vertical="center" wrapText="1"/>
    </xf>
    <xf numFmtId="2" fontId="21" fillId="0" borderId="8" xfId="0" applyNumberFormat="1" applyFont="1" applyBorder="1" applyAlignment="1">
      <alignment horizontal="left" vertical="center" wrapText="1"/>
    </xf>
    <xf numFmtId="2" fontId="21" fillId="0" borderId="9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2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2" fontId="13" fillId="0" borderId="1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62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302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1717756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53708FD5-5BE3-2E45-AC95-10A7D0BE38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93856" cy="934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72F18C45-0964-3040-B2AE-B1AB8CC89CA2}"/>
            </a:ext>
          </a:extLst>
        </xdr:cNvPr>
        <xdr:cNvSpPr txBox="1"/>
      </xdr:nvSpPr>
      <xdr:spPr>
        <a:xfrm>
          <a:off x="6350000" y="390524"/>
          <a:ext cx="32194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ED1CF34F-520F-B342-9E45-9CD9DC59B4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4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7CFE3421-78A3-E543-8165-B4A22B3F1AEE}"/>
            </a:ext>
          </a:extLst>
        </xdr:cNvPr>
        <xdr:cNvSpPr txBox="1"/>
      </xdr:nvSpPr>
      <xdr:spPr>
        <a:xfrm>
          <a:off x="5575300" y="390524"/>
          <a:ext cx="32194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1677051</xdr:colOff>
      <xdr:row>2</xdr:row>
      <xdr:rowOff>0</xdr:rowOff>
    </xdr:to>
    <xdr:pic>
      <xdr:nvPicPr>
        <xdr:cNvPr id="4" name="Image 3" descr="E:\DBS\LOGO.jpg">
          <a:extLst>
            <a:ext uri="{FF2B5EF4-FFF2-40B4-BE49-F238E27FC236}">
              <a16:creationId xmlns:a16="http://schemas.microsoft.com/office/drawing/2014/main" id="{BB2E1D76-5E85-7247-B228-FF1B480A93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53151" cy="934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5" name="Zone de texte 2">
          <a:extLst>
            <a:ext uri="{FF2B5EF4-FFF2-40B4-BE49-F238E27FC236}">
              <a16:creationId xmlns:a16="http://schemas.microsoft.com/office/drawing/2014/main" id="{1C082C1F-E416-D84B-8950-69139648DC9B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8DD815A7-47C6-C348-84E2-54336A2FA4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D8D9D6A9-03A2-914A-B5D5-5531EC3B5D5D}"/>
            </a:ext>
          </a:extLst>
        </xdr:cNvPr>
        <xdr:cNvSpPr txBox="1"/>
      </xdr:nvSpPr>
      <xdr:spPr>
        <a:xfrm>
          <a:off x="5753100" y="390524"/>
          <a:ext cx="2838450" cy="10382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1685192</xdr:colOff>
      <xdr:row>2</xdr:row>
      <xdr:rowOff>0</xdr:rowOff>
    </xdr:to>
    <xdr:pic>
      <xdr:nvPicPr>
        <xdr:cNvPr id="4" name="Image 3" descr="E:\DBS\LOGO.jpg">
          <a:extLst>
            <a:ext uri="{FF2B5EF4-FFF2-40B4-BE49-F238E27FC236}">
              <a16:creationId xmlns:a16="http://schemas.microsoft.com/office/drawing/2014/main" id="{7A5F08BD-8B37-654D-9292-F20F13AC05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61292" cy="934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5" name="Zone de texte 2">
          <a:extLst>
            <a:ext uri="{FF2B5EF4-FFF2-40B4-BE49-F238E27FC236}">
              <a16:creationId xmlns:a16="http://schemas.microsoft.com/office/drawing/2014/main" id="{8637667E-708A-CA46-ACF0-FA8573E93E98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0F8C7307-F125-064D-8A20-BE411E8D9A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2E7F9FFC-F9C3-3A4C-AABD-8A4D9C67E454}"/>
            </a:ext>
          </a:extLst>
        </xdr:cNvPr>
        <xdr:cNvSpPr txBox="1"/>
      </xdr:nvSpPr>
      <xdr:spPr>
        <a:xfrm>
          <a:off x="5753100" y="390524"/>
          <a:ext cx="2838450" cy="10382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4" name="Image 3" descr="E:\DBS\LOGO.jpg">
          <a:extLst>
            <a:ext uri="{FF2B5EF4-FFF2-40B4-BE49-F238E27FC236}">
              <a16:creationId xmlns:a16="http://schemas.microsoft.com/office/drawing/2014/main" id="{8750B8D6-DAE4-6A4C-98FA-44561BDDB5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5" name="Zone de texte 2">
          <a:extLst>
            <a:ext uri="{FF2B5EF4-FFF2-40B4-BE49-F238E27FC236}">
              <a16:creationId xmlns:a16="http://schemas.microsoft.com/office/drawing/2014/main" id="{FC5BF095-2A70-EA46-BCD4-AF02F47D579A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1644487</xdr:colOff>
      <xdr:row>2</xdr:row>
      <xdr:rowOff>0</xdr:rowOff>
    </xdr:to>
    <xdr:pic>
      <xdr:nvPicPr>
        <xdr:cNvPr id="6" name="Image 5" descr="E:\DBS\LOGO.jpg">
          <a:extLst>
            <a:ext uri="{FF2B5EF4-FFF2-40B4-BE49-F238E27FC236}">
              <a16:creationId xmlns:a16="http://schemas.microsoft.com/office/drawing/2014/main" id="{57E89228-6BC7-F54D-90BD-3454ADCB9BB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20587" cy="9343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7" name="Zone de texte 2">
          <a:extLst>
            <a:ext uri="{FF2B5EF4-FFF2-40B4-BE49-F238E27FC236}">
              <a16:creationId xmlns:a16="http://schemas.microsoft.com/office/drawing/2014/main" id="{8F693A35-FBDC-0942-8144-496F74B4D124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0CDF3A6B-7654-1845-8138-9AFC759CF3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A2E68046-E924-AA4C-B97F-3E73BDD5BD9E}"/>
            </a:ext>
          </a:extLst>
        </xdr:cNvPr>
        <xdr:cNvSpPr txBox="1"/>
      </xdr:nvSpPr>
      <xdr:spPr>
        <a:xfrm>
          <a:off x="5753100" y="390524"/>
          <a:ext cx="2838450" cy="10382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4" name="Image 3" descr="E:\DBS\LOGO.jpg">
          <a:extLst>
            <a:ext uri="{FF2B5EF4-FFF2-40B4-BE49-F238E27FC236}">
              <a16:creationId xmlns:a16="http://schemas.microsoft.com/office/drawing/2014/main" id="{48A8233F-D03B-784A-B34D-730E70DFBC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5" name="Zone de texte 2">
          <a:extLst>
            <a:ext uri="{FF2B5EF4-FFF2-40B4-BE49-F238E27FC236}">
              <a16:creationId xmlns:a16="http://schemas.microsoft.com/office/drawing/2014/main" id="{02876979-A031-6248-AF37-5123DD35AF0C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723900</xdr:colOff>
      <xdr:row>0</xdr:row>
      <xdr:rowOff>180976</xdr:rowOff>
    </xdr:from>
    <xdr:to>
      <xdr:col>0</xdr:col>
      <xdr:colOff>1685192</xdr:colOff>
      <xdr:row>2</xdr:row>
      <xdr:rowOff>0</xdr:rowOff>
    </xdr:to>
    <xdr:pic>
      <xdr:nvPicPr>
        <xdr:cNvPr id="6" name="Image 5" descr="E:\DBS\LOGO.jpg">
          <a:extLst>
            <a:ext uri="{FF2B5EF4-FFF2-40B4-BE49-F238E27FC236}">
              <a16:creationId xmlns:a16="http://schemas.microsoft.com/office/drawing/2014/main" id="{6F8ECBC5-B5CF-3942-B919-43820B3729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61292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7" name="Zone de texte 2">
          <a:extLst>
            <a:ext uri="{FF2B5EF4-FFF2-40B4-BE49-F238E27FC236}">
              <a16:creationId xmlns:a16="http://schemas.microsoft.com/office/drawing/2014/main" id="{CAA36EDD-FF7F-8D45-921D-2B4329FCB358}"/>
            </a:ext>
          </a:extLst>
        </xdr:cNvPr>
        <xdr:cNvSpPr txBox="1"/>
      </xdr:nvSpPr>
      <xdr:spPr>
        <a:xfrm>
          <a:off x="6096000" y="390524"/>
          <a:ext cx="2851150" cy="10509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180976</xdr:rowOff>
    </xdr:from>
    <xdr:to>
      <xdr:col>0</xdr:col>
      <xdr:colOff>1709615</xdr:colOff>
      <xdr:row>2</xdr:row>
      <xdr:rowOff>0</xdr:rowOff>
    </xdr:to>
    <xdr:pic>
      <xdr:nvPicPr>
        <xdr:cNvPr id="2" name="Image 1" descr="E:\DBS\LOGO.jpg">
          <a:extLst>
            <a:ext uri="{FF2B5EF4-FFF2-40B4-BE49-F238E27FC236}">
              <a16:creationId xmlns:a16="http://schemas.microsoft.com/office/drawing/2014/main" id="{5CC62B59-ACE4-7745-A934-3FD9DEB5A1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80976"/>
          <a:ext cx="985715" cy="9366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0</xdr:row>
      <xdr:rowOff>390524</xdr:rowOff>
    </xdr:from>
    <xdr:to>
      <xdr:col>8</xdr:col>
      <xdr:colOff>1428750</xdr:colOff>
      <xdr:row>3</xdr:row>
      <xdr:rowOff>133350</xdr:rowOff>
    </xdr:to>
    <xdr:sp macro="" textlink="">
      <xdr:nvSpPr>
        <xdr:cNvPr id="3" name="Zone de texte 2">
          <a:extLst>
            <a:ext uri="{FF2B5EF4-FFF2-40B4-BE49-F238E27FC236}">
              <a16:creationId xmlns:a16="http://schemas.microsoft.com/office/drawing/2014/main" id="{0B2DCF25-5CE4-744D-B9FA-5087B494F61A}"/>
            </a:ext>
          </a:extLst>
        </xdr:cNvPr>
        <xdr:cNvSpPr txBox="1"/>
      </xdr:nvSpPr>
      <xdr:spPr>
        <a:xfrm>
          <a:off x="5753100" y="390524"/>
          <a:ext cx="2838450" cy="1038226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REPUBLIQUE GABONAISE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Union – Travail – Justice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***************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E023-04BB-234A-8BE9-DAB0D01D8ACB}">
  <dimension ref="A1:N52"/>
  <sheetViews>
    <sheetView topLeftCell="A23" zoomScale="156" zoomScaleNormal="100" workbookViewId="0">
      <selection activeCell="A42" sqref="A42"/>
    </sheetView>
  </sheetViews>
  <sheetFormatPr baseColWidth="10" defaultColWidth="11.5" defaultRowHeight="15" x14ac:dyDescent="0.2"/>
  <cols>
    <col min="1" max="1" width="40.33203125" style="2" customWidth="1"/>
    <col min="2" max="4" width="6.6640625" style="2" customWidth="1"/>
    <col min="5" max="5" width="10" style="1" bestFit="1" customWidth="1"/>
    <col min="6" max="6" width="11.1640625" style="1" bestFit="1" customWidth="1"/>
    <col min="7" max="7" width="10.5" style="1" bestFit="1" customWidth="1"/>
    <col min="8" max="8" width="13" style="1" customWidth="1"/>
    <col min="9" max="9" width="14" style="1" customWidth="1"/>
    <col min="10" max="12" width="11.5" style="1"/>
    <col min="13" max="14" width="18.6640625" style="1" customWidth="1"/>
    <col min="15" max="16384" width="11.5" style="1"/>
  </cols>
  <sheetData>
    <row r="1" spans="1:14" ht="47.25" customHeight="1" x14ac:dyDescent="0.2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4"/>
    </row>
    <row r="3" spans="1:14" s="7" customFormat="1" x14ac:dyDescent="0.2">
      <c r="A3" s="5"/>
      <c r="B3" s="6"/>
      <c r="C3" s="6"/>
      <c r="D3" s="6"/>
      <c r="E3" s="6"/>
      <c r="F3" s="6"/>
      <c r="G3" s="6"/>
      <c r="H3" s="6"/>
      <c r="I3" s="6"/>
      <c r="K3" s="8"/>
      <c r="M3" s="8"/>
      <c r="N3" s="8"/>
    </row>
    <row r="4" spans="1:14" s="7" customFormat="1" ht="23" x14ac:dyDescent="0.2">
      <c r="A4" s="42" t="s">
        <v>2</v>
      </c>
      <c r="B4" s="42"/>
      <c r="C4" s="42"/>
      <c r="D4" s="42"/>
      <c r="E4" s="42"/>
      <c r="F4" s="42"/>
      <c r="G4" s="42"/>
      <c r="H4" s="42"/>
      <c r="I4" s="42"/>
      <c r="K4" s="8"/>
      <c r="M4" s="8"/>
      <c r="N4" s="8"/>
    </row>
    <row r="5" spans="1:14" s="7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1</v>
      </c>
      <c r="K5" s="8"/>
      <c r="M5" s="8"/>
      <c r="N5" s="8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8"/>
      <c r="N6" s="8"/>
    </row>
    <row r="7" spans="1:14" ht="16" x14ac:dyDescent="0.2">
      <c r="A7" s="43" t="s">
        <v>8</v>
      </c>
      <c r="B7" s="43"/>
      <c r="C7" s="43"/>
      <c r="D7" s="43"/>
      <c r="E7" s="43"/>
      <c r="F7" s="43"/>
      <c r="G7" s="44" t="s">
        <v>9</v>
      </c>
      <c r="H7" s="44"/>
      <c r="I7" s="21" t="s">
        <v>10</v>
      </c>
      <c r="M7" s="8"/>
      <c r="N7" s="8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8"/>
      <c r="N8" s="8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8"/>
      <c r="N9" s="8"/>
    </row>
    <row r="10" spans="1:14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ht="20.25" customHeight="1" x14ac:dyDescent="0.2">
      <c r="A11" s="61" t="s">
        <v>21</v>
      </c>
      <c r="B11" s="62"/>
      <c r="C11" s="62"/>
      <c r="D11" s="62"/>
      <c r="E11" s="62"/>
      <c r="F11" s="62"/>
      <c r="G11" s="62"/>
      <c r="H11" s="62"/>
      <c r="I11" s="63"/>
    </row>
    <row r="12" spans="1:14" ht="20.25" customHeight="1" x14ac:dyDescent="0.2">
      <c r="A12" s="26" t="s">
        <v>22</v>
      </c>
      <c r="B12" s="24">
        <v>12</v>
      </c>
      <c r="C12" s="24">
        <v>14</v>
      </c>
      <c r="D12" s="24">
        <v>13</v>
      </c>
      <c r="E12" s="24">
        <v>14</v>
      </c>
      <c r="F12" s="24">
        <v>2</v>
      </c>
      <c r="G12" s="24">
        <v>1</v>
      </c>
      <c r="H12" s="25">
        <f>AVERAGE(B12:E12)</f>
        <v>13.25</v>
      </c>
      <c r="I12" s="24" t="s">
        <v>1</v>
      </c>
    </row>
    <row r="13" spans="1:14" ht="20.25" customHeight="1" x14ac:dyDescent="0.2">
      <c r="A13" s="27" t="s">
        <v>23</v>
      </c>
      <c r="B13" s="24">
        <v>15</v>
      </c>
      <c r="C13" s="24">
        <v>15</v>
      </c>
      <c r="D13" s="24">
        <v>14</v>
      </c>
      <c r="E13" s="24">
        <v>16</v>
      </c>
      <c r="F13" s="24">
        <v>2</v>
      </c>
      <c r="G13" s="24">
        <v>2</v>
      </c>
      <c r="H13" s="25">
        <f>AVERAGE(B13:E13)</f>
        <v>15</v>
      </c>
      <c r="I13" s="24" t="s">
        <v>1</v>
      </c>
    </row>
    <row r="14" spans="1:14" ht="20.25" customHeight="1" x14ac:dyDescent="0.2">
      <c r="A14" s="27" t="s">
        <v>24</v>
      </c>
      <c r="B14" s="24">
        <v>9</v>
      </c>
      <c r="C14" s="24">
        <v>12</v>
      </c>
      <c r="D14" s="24">
        <v>10</v>
      </c>
      <c r="E14" s="24">
        <v>13</v>
      </c>
      <c r="F14" s="24">
        <v>2</v>
      </c>
      <c r="G14" s="24">
        <v>1</v>
      </c>
      <c r="H14" s="25">
        <f>AVERAGE(B14:F14)</f>
        <v>9.1999999999999993</v>
      </c>
      <c r="I14" s="24" t="s">
        <v>1</v>
      </c>
    </row>
    <row r="16" spans="1:14" ht="20.25" customHeight="1" x14ac:dyDescent="0.2">
      <c r="A16" s="64" t="s">
        <v>26</v>
      </c>
      <c r="B16" s="65"/>
      <c r="C16" s="65"/>
      <c r="D16" s="65"/>
      <c r="E16" s="65"/>
      <c r="F16" s="65"/>
      <c r="G16" s="65"/>
      <c r="H16" s="65"/>
      <c r="I16" s="66"/>
    </row>
    <row r="17" spans="1:9" ht="16" customHeight="1" x14ac:dyDescent="0.2">
      <c r="A17" s="30" t="s">
        <v>27</v>
      </c>
      <c r="B17" s="24">
        <v>12</v>
      </c>
      <c r="C17" s="24">
        <v>11</v>
      </c>
      <c r="D17" s="24">
        <v>14</v>
      </c>
      <c r="E17" s="24">
        <v>15</v>
      </c>
      <c r="F17" s="24">
        <v>3</v>
      </c>
      <c r="G17" s="24">
        <v>2</v>
      </c>
      <c r="H17" s="25">
        <f>AVERAGE(B17:E17)</f>
        <v>13</v>
      </c>
      <c r="I17" s="24" t="s">
        <v>1</v>
      </c>
    </row>
    <row r="18" spans="1:9" ht="16" customHeight="1" x14ac:dyDescent="0.2">
      <c r="A18" s="26" t="s">
        <v>28</v>
      </c>
      <c r="B18" s="24">
        <v>14</v>
      </c>
      <c r="C18" s="24">
        <v>12</v>
      </c>
      <c r="D18" s="24">
        <v>13</v>
      </c>
      <c r="E18" s="24">
        <v>15</v>
      </c>
      <c r="F18" s="24">
        <v>3</v>
      </c>
      <c r="G18" s="24">
        <v>2</v>
      </c>
      <c r="H18" s="25">
        <f>AVERAGE(B18:E18)</f>
        <v>13.5</v>
      </c>
      <c r="I18" s="24" t="s">
        <v>1</v>
      </c>
    </row>
    <row r="19" spans="1:9" ht="15" customHeight="1" x14ac:dyDescent="0.2">
      <c r="A19" s="27" t="s">
        <v>29</v>
      </c>
      <c r="B19" s="24">
        <v>11</v>
      </c>
      <c r="C19" s="24">
        <v>13</v>
      </c>
      <c r="D19" s="24">
        <v>15</v>
      </c>
      <c r="E19" s="24">
        <v>15</v>
      </c>
      <c r="F19" s="24">
        <v>2</v>
      </c>
      <c r="G19" s="24">
        <v>2</v>
      </c>
      <c r="H19" s="25">
        <f>AVERAGE(B19:E19)</f>
        <v>13.5</v>
      </c>
      <c r="I19" s="24" t="s">
        <v>1</v>
      </c>
    </row>
    <row r="20" spans="1:9" ht="16" customHeight="1" x14ac:dyDescent="0.2">
      <c r="A20" s="27" t="s">
        <v>30</v>
      </c>
      <c r="B20" s="24">
        <v>12</v>
      </c>
      <c r="C20" s="24">
        <v>15</v>
      </c>
      <c r="D20" s="24">
        <v>14</v>
      </c>
      <c r="E20" s="24">
        <v>17</v>
      </c>
      <c r="F20" s="24">
        <v>2</v>
      </c>
      <c r="G20" s="24">
        <v>2</v>
      </c>
      <c r="H20" s="25">
        <f>AVERAGE(B20:E20)</f>
        <v>14.5</v>
      </c>
      <c r="I20" s="24" t="s">
        <v>1</v>
      </c>
    </row>
    <row r="21" spans="1:9" ht="15" customHeight="1" x14ac:dyDescent="0.2">
      <c r="A21" s="13"/>
      <c r="B21" s="10"/>
      <c r="C21" s="10"/>
      <c r="D21" s="10"/>
      <c r="E21" s="10"/>
      <c r="F21" s="10"/>
      <c r="G21" s="10"/>
      <c r="H21" s="11"/>
      <c r="I21" s="10"/>
    </row>
    <row r="22" spans="1:9" ht="20" customHeight="1" x14ac:dyDescent="0.2">
      <c r="A22" s="61" t="s">
        <v>55</v>
      </c>
      <c r="B22" s="62"/>
      <c r="C22" s="62"/>
      <c r="D22" s="62"/>
      <c r="E22" s="62"/>
      <c r="F22" s="62"/>
      <c r="G22" s="62"/>
      <c r="H22" s="62"/>
      <c r="I22" s="63"/>
    </row>
    <row r="23" spans="1:9" x14ac:dyDescent="0.2">
      <c r="A23" s="30" t="s">
        <v>31</v>
      </c>
      <c r="B23" s="24">
        <v>14</v>
      </c>
      <c r="C23" s="24">
        <v>14</v>
      </c>
      <c r="D23" s="24">
        <v>16</v>
      </c>
      <c r="E23" s="24">
        <v>14</v>
      </c>
      <c r="F23" s="24">
        <v>1</v>
      </c>
      <c r="G23" s="24">
        <v>1</v>
      </c>
      <c r="H23" s="25">
        <f>AVERAGE(B23:E23)</f>
        <v>14.5</v>
      </c>
      <c r="I23" s="24" t="s">
        <v>1</v>
      </c>
    </row>
    <row r="24" spans="1:9" ht="20.25" customHeight="1" x14ac:dyDescent="0.2">
      <c r="A24" s="30" t="s">
        <v>68</v>
      </c>
      <c r="B24" s="24">
        <v>14</v>
      </c>
      <c r="C24" s="24">
        <v>15</v>
      </c>
      <c r="D24" s="24">
        <v>13</v>
      </c>
      <c r="E24" s="24">
        <v>15</v>
      </c>
      <c r="F24" s="24">
        <v>1</v>
      </c>
      <c r="G24" s="24">
        <v>1</v>
      </c>
      <c r="H24" s="25">
        <f>AVERAGE(B24:E24)</f>
        <v>14.25</v>
      </c>
      <c r="I24" s="24" t="s">
        <v>1</v>
      </c>
    </row>
    <row r="25" spans="1:9" ht="16" customHeight="1" x14ac:dyDescent="0.2">
      <c r="A25" s="30" t="s">
        <v>25</v>
      </c>
      <c r="B25" s="24">
        <v>13</v>
      </c>
      <c r="C25" s="24">
        <v>14</v>
      </c>
      <c r="D25" s="24">
        <v>17</v>
      </c>
      <c r="E25" s="24">
        <v>16</v>
      </c>
      <c r="F25" s="24">
        <v>2</v>
      </c>
      <c r="G25" s="24">
        <v>2</v>
      </c>
      <c r="H25" s="25">
        <f>AVERAGE(B25:E25)</f>
        <v>15</v>
      </c>
      <c r="I25" s="24" t="s">
        <v>1</v>
      </c>
    </row>
    <row r="26" spans="1:9" ht="15" customHeight="1" x14ac:dyDescent="0.2">
      <c r="A26" s="14"/>
      <c r="B26" s="10"/>
      <c r="C26" s="10"/>
      <c r="D26" s="10"/>
      <c r="E26" s="10"/>
      <c r="F26" s="10"/>
      <c r="G26" s="10"/>
      <c r="H26" s="11"/>
      <c r="I26" s="10"/>
    </row>
    <row r="27" spans="1:9" s="10" customFormat="1" ht="20" customHeight="1" x14ac:dyDescent="0.2">
      <c r="A27" s="61" t="s">
        <v>51</v>
      </c>
      <c r="B27" s="62"/>
      <c r="C27" s="62"/>
      <c r="D27" s="62"/>
      <c r="E27" s="62"/>
      <c r="F27" s="62"/>
      <c r="G27" s="62"/>
      <c r="H27" s="62"/>
      <c r="I27" s="63"/>
    </row>
    <row r="28" spans="1:9" s="10" customFormat="1" ht="15" customHeight="1" x14ac:dyDescent="0.2">
      <c r="A28" s="30" t="s">
        <v>48</v>
      </c>
      <c r="B28" s="24">
        <v>13</v>
      </c>
      <c r="C28" s="24">
        <v>14</v>
      </c>
      <c r="D28" s="24">
        <v>15</v>
      </c>
      <c r="E28" s="24">
        <v>15.5</v>
      </c>
      <c r="F28" s="24">
        <v>3</v>
      </c>
      <c r="G28" s="24">
        <v>2</v>
      </c>
      <c r="H28" s="25">
        <f>AVERAGE(B28:E28)</f>
        <v>14.375</v>
      </c>
      <c r="I28" s="24" t="s">
        <v>1</v>
      </c>
    </row>
    <row r="29" spans="1:9" s="10" customFormat="1" ht="15" customHeight="1" x14ac:dyDescent="0.2">
      <c r="A29" s="26" t="s">
        <v>49</v>
      </c>
      <c r="B29" s="24">
        <v>14</v>
      </c>
      <c r="C29" s="24">
        <v>12</v>
      </c>
      <c r="D29" s="24">
        <v>14</v>
      </c>
      <c r="E29" s="24">
        <v>13</v>
      </c>
      <c r="F29" s="24">
        <v>2</v>
      </c>
      <c r="G29" s="24">
        <v>2</v>
      </c>
      <c r="H29" s="25">
        <f t="shared" ref="H29" si="0">AVERAGE(B29:E29)</f>
        <v>13.25</v>
      </c>
      <c r="I29" s="24" t="s">
        <v>1</v>
      </c>
    </row>
    <row r="30" spans="1:9" s="10" customFormat="1" ht="15" customHeight="1" x14ac:dyDescent="0.2">
      <c r="A30" s="30" t="s">
        <v>50</v>
      </c>
      <c r="B30" s="24">
        <v>12</v>
      </c>
      <c r="C30" s="24">
        <v>13</v>
      </c>
      <c r="D30" s="24">
        <v>11</v>
      </c>
      <c r="E30" s="24">
        <v>12</v>
      </c>
      <c r="F30" s="24">
        <v>1</v>
      </c>
      <c r="G30" s="24">
        <v>1</v>
      </c>
      <c r="H30" s="25">
        <f>AVERAGE(B30:F30)</f>
        <v>9.8000000000000007</v>
      </c>
      <c r="I30" s="24" t="s">
        <v>1</v>
      </c>
    </row>
    <row r="31" spans="1:9" ht="15" customHeight="1" x14ac:dyDescent="0.2">
      <c r="A31" s="13"/>
      <c r="B31" s="10"/>
      <c r="C31" s="10"/>
      <c r="D31" s="10"/>
      <c r="E31" s="10"/>
      <c r="F31" s="10"/>
      <c r="G31" s="10"/>
      <c r="H31" s="11"/>
      <c r="I31" s="10"/>
    </row>
    <row r="32" spans="1:9" ht="20" customHeight="1" x14ac:dyDescent="0.2">
      <c r="A32" s="61" t="s">
        <v>52</v>
      </c>
      <c r="B32" s="62"/>
      <c r="C32" s="62"/>
      <c r="D32" s="62"/>
      <c r="E32" s="62"/>
      <c r="F32" s="62"/>
      <c r="G32" s="62"/>
      <c r="H32" s="62"/>
      <c r="I32" s="63"/>
    </row>
    <row r="33" spans="1:11" ht="16" customHeight="1" x14ac:dyDescent="0.2">
      <c r="A33" s="27" t="s">
        <v>53</v>
      </c>
      <c r="B33" s="24">
        <v>12</v>
      </c>
      <c r="C33" s="24">
        <v>11</v>
      </c>
      <c r="D33" s="24">
        <v>13</v>
      </c>
      <c r="E33" s="24">
        <v>15.5</v>
      </c>
      <c r="F33" s="24">
        <v>2</v>
      </c>
      <c r="G33" s="24">
        <v>3</v>
      </c>
      <c r="H33" s="25">
        <f>AVERAGE(B33:E33)</f>
        <v>12.875</v>
      </c>
      <c r="I33" s="24" t="s">
        <v>1</v>
      </c>
    </row>
    <row r="34" spans="1:11" ht="15" customHeight="1" x14ac:dyDescent="0.2">
      <c r="A34" s="27" t="s">
        <v>54</v>
      </c>
      <c r="B34" s="24">
        <v>11</v>
      </c>
      <c r="C34" s="24">
        <v>13</v>
      </c>
      <c r="D34" s="24">
        <v>15</v>
      </c>
      <c r="E34" s="24">
        <v>14</v>
      </c>
      <c r="F34" s="24">
        <v>2</v>
      </c>
      <c r="G34" s="24">
        <v>2</v>
      </c>
      <c r="H34" s="25">
        <f>AVERAGE(B34:E34)</f>
        <v>13.25</v>
      </c>
      <c r="I34" s="24" t="s">
        <v>1</v>
      </c>
    </row>
    <row r="35" spans="1:11" ht="15" customHeight="1" x14ac:dyDescent="0.2">
      <c r="A35" s="13"/>
      <c r="B35" s="10"/>
      <c r="C35" s="10"/>
      <c r="D35" s="10"/>
      <c r="E35" s="10"/>
      <c r="F35" s="10"/>
      <c r="G35" s="10"/>
      <c r="H35" s="11"/>
      <c r="I35" s="10"/>
    </row>
    <row r="36" spans="1:11" ht="20" customHeight="1" x14ac:dyDescent="0.2">
      <c r="A36" s="61" t="s">
        <v>57</v>
      </c>
      <c r="B36" s="62"/>
      <c r="C36" s="62"/>
      <c r="D36" s="62"/>
      <c r="E36" s="62"/>
      <c r="F36" s="62"/>
      <c r="G36" s="62"/>
      <c r="H36" s="62"/>
      <c r="I36" s="63"/>
    </row>
    <row r="37" spans="1:11" ht="16" customHeight="1" x14ac:dyDescent="0.2">
      <c r="A37" s="27" t="s">
        <v>58</v>
      </c>
      <c r="B37" s="24">
        <v>13</v>
      </c>
      <c r="C37" s="24">
        <v>14</v>
      </c>
      <c r="D37" s="24">
        <v>11</v>
      </c>
      <c r="E37" s="24">
        <v>14</v>
      </c>
      <c r="F37" s="24">
        <v>2</v>
      </c>
      <c r="G37" s="24">
        <v>2</v>
      </c>
      <c r="H37" s="25">
        <f>AVERAGE(B37:E37)</f>
        <v>13</v>
      </c>
      <c r="I37" s="24" t="s">
        <v>1</v>
      </c>
    </row>
    <row r="38" spans="1:11" ht="15" customHeight="1" x14ac:dyDescent="0.2">
      <c r="A38" s="27" t="s">
        <v>59</v>
      </c>
      <c r="B38" s="24">
        <v>13</v>
      </c>
      <c r="C38" s="24">
        <v>15</v>
      </c>
      <c r="D38" s="24">
        <v>17</v>
      </c>
      <c r="E38" s="24">
        <v>17</v>
      </c>
      <c r="F38" s="24">
        <v>2</v>
      </c>
      <c r="G38" s="24">
        <v>2</v>
      </c>
      <c r="H38" s="25">
        <f>AVERAGE(B38:E38)</f>
        <v>15.5</v>
      </c>
      <c r="I38" s="24" t="s">
        <v>1</v>
      </c>
    </row>
    <row r="39" spans="1:11" x14ac:dyDescent="0.2">
      <c r="A39" s="67"/>
      <c r="B39" s="67"/>
      <c r="C39" s="67"/>
      <c r="D39" s="67"/>
      <c r="E39" s="67"/>
      <c r="F39" s="67"/>
      <c r="G39" s="67"/>
      <c r="H39" s="67"/>
      <c r="I39" s="67"/>
    </row>
    <row r="40" spans="1:11" s="39" customFormat="1" ht="20" customHeight="1" x14ac:dyDescent="0.2">
      <c r="A40" s="36" t="s">
        <v>33</v>
      </c>
      <c r="B40" s="73">
        <f>AVERAGE(H12:H38)</f>
        <v>13.397058823529411</v>
      </c>
      <c r="C40" s="74"/>
      <c r="D40" s="74"/>
      <c r="E40" s="75"/>
      <c r="F40" s="51" t="s">
        <v>34</v>
      </c>
      <c r="G40" s="51"/>
      <c r="H40" s="51"/>
      <c r="I40" s="37" t="s">
        <v>1</v>
      </c>
      <c r="J40" s="38"/>
      <c r="K40" s="38"/>
    </row>
    <row r="41" spans="1:11" s="16" customFormat="1" ht="20.25" customHeight="1" x14ac:dyDescent="0.2">
      <c r="A41" s="70"/>
      <c r="B41" s="71"/>
      <c r="C41" s="71"/>
      <c r="D41" s="71"/>
      <c r="E41" s="71"/>
      <c r="F41" s="71"/>
      <c r="G41" s="71"/>
      <c r="H41" s="71"/>
      <c r="I41" s="72"/>
      <c r="J41" s="1"/>
      <c r="K41" s="1"/>
    </row>
    <row r="42" spans="1:11" s="16" customFormat="1" ht="20" customHeight="1" x14ac:dyDescent="0.2">
      <c r="A42" s="40" t="s">
        <v>35</v>
      </c>
      <c r="B42" s="68">
        <f>SUM(G12:G38)</f>
        <v>30</v>
      </c>
      <c r="C42" s="68"/>
      <c r="D42" s="68"/>
      <c r="E42" s="69" t="s">
        <v>42</v>
      </c>
      <c r="F42" s="69"/>
      <c r="G42" s="69"/>
      <c r="H42" s="69"/>
      <c r="I42" s="34" t="s">
        <v>43</v>
      </c>
      <c r="J42" s="1"/>
      <c r="K42" s="1"/>
    </row>
    <row r="43" spans="1:11" s="16" customFormat="1" ht="22.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  <c r="J43" s="1"/>
      <c r="K43" s="1"/>
    </row>
    <row r="44" spans="1:11" s="16" customFormat="1" ht="22.5" customHeight="1" x14ac:dyDescent="0.2">
      <c r="A44" s="35" t="s">
        <v>36</v>
      </c>
      <c r="B44" s="51" t="s">
        <v>39</v>
      </c>
      <c r="C44" s="51"/>
      <c r="D44" s="51"/>
      <c r="E44" s="51"/>
      <c r="F44" s="48" t="s">
        <v>46</v>
      </c>
      <c r="G44" s="48"/>
      <c r="H44" s="48"/>
      <c r="I44" s="48"/>
      <c r="J44" s="1"/>
      <c r="K44" s="1"/>
    </row>
    <row r="45" spans="1:11" s="16" customFormat="1" ht="10" customHeight="1" x14ac:dyDescent="0.2">
      <c r="A45" s="76"/>
      <c r="B45" s="76"/>
      <c r="C45" s="76"/>
      <c r="D45" s="76"/>
      <c r="E45" s="76"/>
      <c r="F45" s="76"/>
      <c r="G45" s="76"/>
      <c r="H45" s="76"/>
      <c r="I45" s="76"/>
      <c r="J45" s="1"/>
      <c r="K45" s="1"/>
    </row>
    <row r="46" spans="1:11" s="16" customFormat="1" ht="22.5" customHeight="1" x14ac:dyDescent="0.2">
      <c r="A46" s="49" t="s">
        <v>37</v>
      </c>
      <c r="B46" s="49"/>
      <c r="C46" s="49"/>
      <c r="D46" s="49"/>
      <c r="E46" s="50" t="s">
        <v>38</v>
      </c>
      <c r="F46" s="50"/>
      <c r="G46" s="50"/>
      <c r="H46" s="50"/>
      <c r="I46" s="50"/>
      <c r="J46" s="1"/>
      <c r="K46" s="1"/>
    </row>
    <row r="47" spans="1:11" s="16" customFormat="1" ht="22.5" customHeight="1" x14ac:dyDescent="0.2">
      <c r="A47" s="77" t="s">
        <v>40</v>
      </c>
      <c r="B47" s="78"/>
      <c r="C47" s="78"/>
      <c r="D47" s="79"/>
      <c r="E47" s="52" t="s">
        <v>41</v>
      </c>
      <c r="F47" s="53"/>
      <c r="G47" s="53"/>
      <c r="H47" s="53"/>
      <c r="I47" s="54"/>
      <c r="J47" s="1"/>
      <c r="K47" s="1"/>
    </row>
    <row r="48" spans="1:11" s="16" customFormat="1" ht="22.5" customHeight="1" x14ac:dyDescent="0.2">
      <c r="A48" s="80"/>
      <c r="B48" s="81"/>
      <c r="C48" s="81"/>
      <c r="D48" s="82"/>
      <c r="E48" s="55"/>
      <c r="F48" s="56"/>
      <c r="G48" s="56"/>
      <c r="H48" s="56"/>
      <c r="I48" s="57"/>
      <c r="J48" s="1"/>
      <c r="K48" s="1"/>
    </row>
    <row r="49" spans="1:11" s="16" customFormat="1" ht="22.5" customHeight="1" x14ac:dyDescent="0.2">
      <c r="A49" s="80"/>
      <c r="B49" s="81"/>
      <c r="C49" s="81"/>
      <c r="D49" s="82"/>
      <c r="E49" s="55"/>
      <c r="F49" s="56"/>
      <c r="G49" s="56"/>
      <c r="H49" s="56"/>
      <c r="I49" s="57"/>
      <c r="J49" s="1"/>
      <c r="K49" s="1"/>
    </row>
    <row r="50" spans="1:11" s="16" customFormat="1" ht="18" customHeight="1" x14ac:dyDescent="0.2">
      <c r="A50" s="80"/>
      <c r="B50" s="81"/>
      <c r="C50" s="81"/>
      <c r="D50" s="82"/>
      <c r="E50" s="55"/>
      <c r="F50" s="56"/>
      <c r="G50" s="56"/>
      <c r="H50" s="56"/>
      <c r="I50" s="57"/>
      <c r="J50" s="1"/>
      <c r="K50" s="1"/>
    </row>
    <row r="51" spans="1:11" s="16" customFormat="1" ht="38" customHeight="1" x14ac:dyDescent="0.2">
      <c r="A51" s="83"/>
      <c r="B51" s="84"/>
      <c r="C51" s="84"/>
      <c r="D51" s="85"/>
      <c r="E51" s="58"/>
      <c r="F51" s="59"/>
      <c r="G51" s="59"/>
      <c r="H51" s="59"/>
      <c r="I51" s="60"/>
      <c r="J51" s="1"/>
      <c r="K51" s="1"/>
    </row>
    <row r="52" spans="1:11" s="16" customFormat="1" x14ac:dyDescent="0.2">
      <c r="A52" s="2"/>
      <c r="B52" s="2"/>
      <c r="C52" s="2"/>
      <c r="D52" s="2"/>
      <c r="E52" s="1"/>
      <c r="F52" s="1"/>
      <c r="G52" s="1"/>
      <c r="H52" s="1"/>
      <c r="I52" s="1"/>
      <c r="J52" s="1"/>
      <c r="K52" s="1"/>
    </row>
  </sheetData>
  <mergeCells count="37">
    <mergeCell ref="E47:I51"/>
    <mergeCell ref="A11:I11"/>
    <mergeCell ref="A16:I16"/>
    <mergeCell ref="A22:I22"/>
    <mergeCell ref="A27:I27"/>
    <mergeCell ref="A32:I32"/>
    <mergeCell ref="A36:I36"/>
    <mergeCell ref="A39:I39"/>
    <mergeCell ref="B42:D42"/>
    <mergeCell ref="E42:H42"/>
    <mergeCell ref="A41:I41"/>
    <mergeCell ref="B40:E40"/>
    <mergeCell ref="A45:I45"/>
    <mergeCell ref="A47:D51"/>
    <mergeCell ref="A43:I43"/>
    <mergeCell ref="B44:E44"/>
    <mergeCell ref="F44:I44"/>
    <mergeCell ref="A46:D46"/>
    <mergeCell ref="E46:I46"/>
    <mergeCell ref="I9:I10"/>
    <mergeCell ref="F40:H40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1:I1"/>
    <mergeCell ref="A4:I4"/>
    <mergeCell ref="A5:F5"/>
    <mergeCell ref="G5:H5"/>
    <mergeCell ref="A6:F6"/>
    <mergeCell ref="G6:H6"/>
  </mergeCells>
  <conditionalFormatting sqref="I12:I14 I17:I21 I23:I26">
    <cfRule type="containsText" dxfId="61" priority="10" operator="containsText" text="AJOURNE">
      <formula>NOT(ISERROR(SEARCH("AJOURNE",I12)))</formula>
    </cfRule>
    <cfRule type="containsText" dxfId="60" priority="9" operator="containsText" text="ADMIS">
      <formula>NOT(ISERROR(SEARCH("ADMIS",I12)))</formula>
    </cfRule>
  </conditionalFormatting>
  <conditionalFormatting sqref="I28:I31">
    <cfRule type="containsText" dxfId="59" priority="6" operator="containsText" text="AJOURNE">
      <formula>NOT(ISERROR(SEARCH("AJOURNE",I28)))</formula>
    </cfRule>
    <cfRule type="containsText" dxfId="58" priority="5" operator="containsText" text="ADMIS">
      <formula>NOT(ISERROR(SEARCH("ADMIS",I28)))</formula>
    </cfRule>
  </conditionalFormatting>
  <conditionalFormatting sqref="I33:I35">
    <cfRule type="containsText" dxfId="57" priority="4" operator="containsText" text="AJOURNE">
      <formula>NOT(ISERROR(SEARCH("AJOURNE",I33)))</formula>
    </cfRule>
    <cfRule type="containsText" dxfId="56" priority="3" operator="containsText" text="ADMIS">
      <formula>NOT(ISERROR(SEARCH("ADMIS",I33)))</formula>
    </cfRule>
  </conditionalFormatting>
  <conditionalFormatting sqref="I37:I38">
    <cfRule type="containsText" dxfId="55" priority="1" operator="containsText" text="ADMIS">
      <formula>NOT(ISERROR(SEARCH("ADMIS",I37)))</formula>
    </cfRule>
    <cfRule type="containsText" dxfId="54" priority="2" operator="containsText" text="AJOURNE">
      <formula>NOT(ISERROR(SEARCH("AJOURNE",I37)))</formula>
    </cfRule>
  </conditionalFormatting>
  <conditionalFormatting sqref="I40">
    <cfRule type="containsText" dxfId="53" priority="8" operator="containsText" text="AJOURNE">
      <formula>NOT(ISERROR(SEARCH("AJOURNE",I40)))</formula>
    </cfRule>
    <cfRule type="containsText" dxfId="52" priority="7" operator="containsText" text="ADMIS">
      <formula>NOT(ISERROR(SEARCH("ADMIS",I40)))</formula>
    </cfRule>
  </conditionalFormatting>
  <dataValidations count="1">
    <dataValidation type="list" allowBlank="1" showInputMessage="1" showErrorMessage="1" sqref="I40 I12:I14 I17:I21 I23:I26 I28:I31 I33:I35 I37:I38" xr:uid="{57885F3A-3F20-BA42-BB97-8817AB3B26BF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83AE-50E4-824F-9882-3B2A9E670D29}">
  <dimension ref="A1:N51"/>
  <sheetViews>
    <sheetView topLeftCell="A26" zoomScale="156" zoomScaleNormal="100" workbookViewId="0">
      <selection activeCell="A4" sqref="A4:I4"/>
    </sheetView>
  </sheetViews>
  <sheetFormatPr baseColWidth="10" defaultColWidth="11.5" defaultRowHeight="15" x14ac:dyDescent="0.2"/>
  <cols>
    <col min="1" max="1" width="41.1640625" style="2" customWidth="1"/>
    <col min="2" max="4" width="6.6640625" style="2" customWidth="1"/>
    <col min="5" max="5" width="10" style="1" bestFit="1" customWidth="1"/>
    <col min="6" max="6" width="11.1640625" style="1" bestFit="1" customWidth="1"/>
    <col min="7" max="7" width="10.5" style="1" bestFit="1" customWidth="1"/>
    <col min="8" max="8" width="13" style="1" customWidth="1"/>
    <col min="9" max="9" width="14" style="1" customWidth="1"/>
    <col min="10" max="12" width="11.5" style="1"/>
    <col min="13" max="14" width="18.6640625" style="1" customWidth="1"/>
    <col min="15" max="16384" width="11.5" style="1"/>
  </cols>
  <sheetData>
    <row r="1" spans="1:14" ht="47.25" customHeight="1" x14ac:dyDescent="0.2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4"/>
    </row>
    <row r="3" spans="1:14" s="7" customFormat="1" x14ac:dyDescent="0.2">
      <c r="A3" s="5"/>
      <c r="B3" s="6"/>
      <c r="C3" s="6"/>
      <c r="D3" s="6"/>
      <c r="E3" s="6"/>
      <c r="F3" s="6"/>
      <c r="G3" s="6"/>
      <c r="H3" s="6"/>
      <c r="I3" s="6"/>
      <c r="K3" s="8"/>
      <c r="M3" s="8"/>
      <c r="N3" s="8"/>
    </row>
    <row r="4" spans="1:14" s="7" customFormat="1" ht="20" x14ac:dyDescent="0.2">
      <c r="A4" s="86" t="s">
        <v>2</v>
      </c>
      <c r="B4" s="86"/>
      <c r="C4" s="86"/>
      <c r="D4" s="86"/>
      <c r="E4" s="86"/>
      <c r="F4" s="86"/>
      <c r="G4" s="86"/>
      <c r="H4" s="86"/>
      <c r="I4" s="86"/>
      <c r="K4" s="8"/>
      <c r="M4" s="8"/>
      <c r="N4" s="8"/>
    </row>
    <row r="5" spans="1:14" s="7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2</v>
      </c>
      <c r="K5" s="8"/>
      <c r="M5" s="8"/>
      <c r="N5" s="8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8"/>
      <c r="N6" s="8"/>
    </row>
    <row r="7" spans="1:14" ht="16" x14ac:dyDescent="0.2">
      <c r="A7" s="43" t="s">
        <v>8</v>
      </c>
      <c r="B7" s="43"/>
      <c r="C7" s="43"/>
      <c r="D7" s="43"/>
      <c r="E7" s="43"/>
      <c r="F7" s="43"/>
      <c r="G7" s="44" t="s">
        <v>9</v>
      </c>
      <c r="H7" s="44"/>
      <c r="I7" s="21" t="s">
        <v>10</v>
      </c>
      <c r="M7" s="8"/>
      <c r="N7" s="8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8"/>
      <c r="N8" s="8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8"/>
      <c r="N9" s="8"/>
    </row>
    <row r="10" spans="1:14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ht="20.25" customHeight="1" x14ac:dyDescent="0.2">
      <c r="A11" s="90" t="s">
        <v>60</v>
      </c>
      <c r="B11" s="90"/>
      <c r="C11" s="90"/>
      <c r="D11" s="90"/>
      <c r="E11" s="90"/>
      <c r="F11" s="90"/>
      <c r="G11" s="90"/>
      <c r="H11" s="90"/>
      <c r="I11" s="90"/>
    </row>
    <row r="12" spans="1:14" ht="20.25" customHeight="1" x14ac:dyDescent="0.2">
      <c r="A12" s="26" t="s">
        <v>59</v>
      </c>
      <c r="B12" s="24">
        <v>14</v>
      </c>
      <c r="C12" s="24">
        <v>14</v>
      </c>
      <c r="D12" s="24">
        <v>15</v>
      </c>
      <c r="E12" s="24">
        <v>16</v>
      </c>
      <c r="F12" s="24">
        <v>2</v>
      </c>
      <c r="G12" s="24">
        <v>1</v>
      </c>
      <c r="H12" s="25">
        <f>AVERAGE(B12:E12)</f>
        <v>14.75</v>
      </c>
      <c r="I12" s="24" t="s">
        <v>1</v>
      </c>
    </row>
    <row r="13" spans="1:14" ht="20.25" customHeight="1" x14ac:dyDescent="0.2">
      <c r="A13" s="27" t="s">
        <v>61</v>
      </c>
      <c r="B13" s="24">
        <v>11</v>
      </c>
      <c r="C13" s="24">
        <v>13</v>
      </c>
      <c r="D13" s="24">
        <v>12</v>
      </c>
      <c r="E13" s="24">
        <v>14</v>
      </c>
      <c r="F13" s="24">
        <v>2</v>
      </c>
      <c r="G13" s="24">
        <v>2</v>
      </c>
      <c r="H13" s="25">
        <f>AVERAGE(B13:E13)</f>
        <v>12.5</v>
      </c>
      <c r="I13" s="24" t="s">
        <v>1</v>
      </c>
    </row>
    <row r="14" spans="1:14" ht="20.25" customHeight="1" x14ac:dyDescent="0.2">
      <c r="A14" s="27" t="s">
        <v>62</v>
      </c>
      <c r="B14" s="24">
        <v>9</v>
      </c>
      <c r="C14" s="24">
        <v>12</v>
      </c>
      <c r="D14" s="24">
        <v>14</v>
      </c>
      <c r="E14" s="24">
        <v>13</v>
      </c>
      <c r="F14" s="24">
        <v>2</v>
      </c>
      <c r="G14" s="24">
        <v>1</v>
      </c>
      <c r="H14" s="25">
        <f>AVERAGE(B14:E14)</f>
        <v>12</v>
      </c>
      <c r="I14" s="24" t="s">
        <v>1</v>
      </c>
    </row>
    <row r="15" spans="1:14" x14ac:dyDescent="0.2">
      <c r="A15" s="91"/>
      <c r="B15" s="91"/>
      <c r="C15" s="91"/>
      <c r="D15" s="91"/>
      <c r="E15" s="91"/>
      <c r="F15" s="91"/>
      <c r="G15" s="91"/>
      <c r="H15" s="91"/>
      <c r="I15" s="91"/>
    </row>
    <row r="16" spans="1:14" ht="20.25" customHeight="1" x14ac:dyDescent="0.2">
      <c r="A16" s="92" t="s">
        <v>63</v>
      </c>
      <c r="B16" s="92"/>
      <c r="C16" s="92"/>
      <c r="D16" s="92"/>
      <c r="E16" s="92"/>
      <c r="F16" s="92"/>
      <c r="G16" s="92"/>
      <c r="H16" s="92"/>
      <c r="I16" s="92"/>
    </row>
    <row r="17" spans="1:9" ht="16" customHeight="1" x14ac:dyDescent="0.2">
      <c r="A17" s="30" t="s">
        <v>64</v>
      </c>
      <c r="B17" s="24">
        <v>11</v>
      </c>
      <c r="C17" s="24">
        <v>13</v>
      </c>
      <c r="D17" s="24">
        <v>16</v>
      </c>
      <c r="E17" s="24">
        <v>16</v>
      </c>
      <c r="F17" s="24">
        <v>3</v>
      </c>
      <c r="G17" s="24">
        <v>2</v>
      </c>
      <c r="H17" s="25">
        <f>AVERAGE(B17:E17)</f>
        <v>14</v>
      </c>
      <c r="I17" s="24" t="s">
        <v>1</v>
      </c>
    </row>
    <row r="18" spans="1:9" ht="16" customHeight="1" x14ac:dyDescent="0.2">
      <c r="A18" s="26" t="s">
        <v>65</v>
      </c>
      <c r="B18" s="24">
        <v>15</v>
      </c>
      <c r="C18" s="24">
        <v>14</v>
      </c>
      <c r="D18" s="24">
        <v>11</v>
      </c>
      <c r="E18" s="24">
        <v>13</v>
      </c>
      <c r="F18" s="24">
        <v>3</v>
      </c>
      <c r="G18" s="24">
        <v>2</v>
      </c>
      <c r="H18" s="25">
        <f>AVERAGE(B18:E18)</f>
        <v>13.25</v>
      </c>
      <c r="I18" s="24" t="s">
        <v>1</v>
      </c>
    </row>
    <row r="19" spans="1:9" ht="15" customHeight="1" x14ac:dyDescent="0.2">
      <c r="A19" s="27" t="s">
        <v>66</v>
      </c>
      <c r="B19" s="24">
        <v>13</v>
      </c>
      <c r="C19" s="24">
        <v>16</v>
      </c>
      <c r="D19" s="24">
        <v>15</v>
      </c>
      <c r="E19" s="24">
        <v>12</v>
      </c>
      <c r="F19" s="24">
        <v>2</v>
      </c>
      <c r="G19" s="24">
        <v>2</v>
      </c>
      <c r="H19" s="25">
        <f>AVERAGE(B19:E19)</f>
        <v>14</v>
      </c>
      <c r="I19" s="24" t="s">
        <v>1</v>
      </c>
    </row>
    <row r="20" spans="1:9" ht="15" customHeight="1" x14ac:dyDescent="0.2">
      <c r="A20" s="13"/>
      <c r="B20" s="10"/>
      <c r="C20" s="10"/>
      <c r="D20" s="10"/>
      <c r="E20" s="10"/>
      <c r="F20" s="10"/>
      <c r="G20" s="10"/>
      <c r="H20" s="11"/>
      <c r="I20" s="10"/>
    </row>
    <row r="21" spans="1:9" ht="20" customHeight="1" x14ac:dyDescent="0.2">
      <c r="A21" s="87" t="s">
        <v>67</v>
      </c>
      <c r="B21" s="87"/>
      <c r="C21" s="87"/>
      <c r="D21" s="87"/>
      <c r="E21" s="87"/>
      <c r="F21" s="87"/>
      <c r="G21" s="87"/>
      <c r="H21" s="87"/>
      <c r="I21" s="87"/>
    </row>
    <row r="22" spans="1:9" x14ac:dyDescent="0.2">
      <c r="A22" s="30" t="s">
        <v>31</v>
      </c>
      <c r="B22" s="24">
        <v>13</v>
      </c>
      <c r="C22" s="24">
        <v>13</v>
      </c>
      <c r="D22" s="24">
        <v>10</v>
      </c>
      <c r="E22" s="24">
        <v>13</v>
      </c>
      <c r="F22" s="24">
        <v>1</v>
      </c>
      <c r="G22" s="24">
        <v>1</v>
      </c>
      <c r="H22" s="25">
        <f t="shared" ref="H22" si="0">AVERAGE(B22:E22)</f>
        <v>12.25</v>
      </c>
      <c r="I22" s="24" t="s">
        <v>1</v>
      </c>
    </row>
    <row r="23" spans="1:9" ht="20.25" customHeight="1" x14ac:dyDescent="0.2">
      <c r="A23" s="30" t="s">
        <v>68</v>
      </c>
      <c r="B23" s="24">
        <v>12</v>
      </c>
      <c r="C23" s="24">
        <v>11</v>
      </c>
      <c r="D23" s="24">
        <v>15</v>
      </c>
      <c r="E23" s="24">
        <v>14</v>
      </c>
      <c r="F23" s="24">
        <v>1</v>
      </c>
      <c r="G23" s="24">
        <v>1</v>
      </c>
      <c r="H23" s="25">
        <f>AVERAGE(B23:E23)</f>
        <v>13</v>
      </c>
      <c r="I23" s="24" t="s">
        <v>1</v>
      </c>
    </row>
    <row r="24" spans="1:9" ht="16" customHeight="1" x14ac:dyDescent="0.2">
      <c r="A24" s="30" t="s">
        <v>25</v>
      </c>
      <c r="B24" s="24">
        <v>12</v>
      </c>
      <c r="C24" s="24">
        <v>8</v>
      </c>
      <c r="D24" s="24">
        <v>11</v>
      </c>
      <c r="E24" s="24">
        <v>11.5</v>
      </c>
      <c r="F24" s="24">
        <v>2</v>
      </c>
      <c r="G24" s="24">
        <v>2</v>
      </c>
      <c r="H24" s="25">
        <f>AVERAGE(B24:E24)</f>
        <v>10.625</v>
      </c>
      <c r="I24" s="24" t="s">
        <v>1</v>
      </c>
    </row>
    <row r="25" spans="1:9" ht="15" customHeight="1" x14ac:dyDescent="0.2">
      <c r="A25" s="14"/>
      <c r="B25" s="10"/>
      <c r="C25" s="10"/>
      <c r="D25" s="10"/>
      <c r="E25" s="10"/>
      <c r="F25" s="10"/>
      <c r="G25" s="10"/>
      <c r="H25" s="11"/>
      <c r="I25" s="10"/>
    </row>
    <row r="26" spans="1:9" s="10" customFormat="1" ht="20" customHeight="1" x14ac:dyDescent="0.2">
      <c r="A26" s="87" t="s">
        <v>72</v>
      </c>
      <c r="B26" s="87"/>
      <c r="C26" s="87"/>
      <c r="D26" s="87"/>
      <c r="E26" s="87"/>
      <c r="F26" s="87"/>
      <c r="G26" s="87"/>
      <c r="H26" s="87"/>
      <c r="I26" s="87"/>
    </row>
    <row r="27" spans="1:9" s="10" customFormat="1" ht="14" x14ac:dyDescent="0.2">
      <c r="A27" s="30" t="s">
        <v>48</v>
      </c>
      <c r="B27" s="24">
        <v>13</v>
      </c>
      <c r="C27" s="24">
        <v>11</v>
      </c>
      <c r="D27" s="24">
        <v>13.5</v>
      </c>
      <c r="E27" s="24">
        <v>14.5</v>
      </c>
      <c r="F27" s="24">
        <v>3</v>
      </c>
      <c r="G27" s="24">
        <v>2</v>
      </c>
      <c r="H27" s="25">
        <f t="shared" ref="H27:H28" si="1">AVERAGE(B27:E27)</f>
        <v>13</v>
      </c>
      <c r="I27" s="24" t="s">
        <v>1</v>
      </c>
    </row>
    <row r="28" spans="1:9" s="10" customFormat="1" ht="15" customHeight="1" x14ac:dyDescent="0.2">
      <c r="A28" s="26" t="s">
        <v>49</v>
      </c>
      <c r="B28" s="24">
        <v>13</v>
      </c>
      <c r="C28" s="24">
        <v>15.5</v>
      </c>
      <c r="D28" s="24">
        <v>14</v>
      </c>
      <c r="E28" s="24">
        <v>16</v>
      </c>
      <c r="F28" s="24">
        <v>2</v>
      </c>
      <c r="G28" s="24">
        <v>2</v>
      </c>
      <c r="H28" s="25">
        <f t="shared" si="1"/>
        <v>14.625</v>
      </c>
      <c r="I28" s="24" t="s">
        <v>1</v>
      </c>
    </row>
    <row r="29" spans="1:9" s="10" customFormat="1" ht="15" customHeight="1" x14ac:dyDescent="0.2">
      <c r="A29" s="30" t="s">
        <v>69</v>
      </c>
      <c r="B29" s="24">
        <v>10</v>
      </c>
      <c r="C29" s="24">
        <v>11</v>
      </c>
      <c r="D29" s="24">
        <v>14</v>
      </c>
      <c r="E29" s="24">
        <v>15</v>
      </c>
      <c r="F29" s="24">
        <v>1</v>
      </c>
      <c r="G29" s="24">
        <v>2</v>
      </c>
      <c r="H29" s="25">
        <f>AVERAGE(B29:F29)</f>
        <v>10.199999999999999</v>
      </c>
      <c r="I29" s="24" t="s">
        <v>1</v>
      </c>
    </row>
    <row r="30" spans="1:9" ht="15" customHeight="1" x14ac:dyDescent="0.2">
      <c r="A30" s="13"/>
      <c r="B30" s="10"/>
      <c r="C30" s="10"/>
      <c r="D30" s="10"/>
      <c r="E30" s="10"/>
      <c r="F30" s="10"/>
      <c r="G30" s="10"/>
      <c r="H30" s="11"/>
      <c r="I30" s="10"/>
    </row>
    <row r="31" spans="1:9" ht="20" customHeight="1" x14ac:dyDescent="0.2">
      <c r="A31" s="87" t="s">
        <v>73</v>
      </c>
      <c r="B31" s="87"/>
      <c r="C31" s="87"/>
      <c r="D31" s="87"/>
      <c r="E31" s="87"/>
      <c r="F31" s="87"/>
      <c r="G31" s="87"/>
      <c r="H31" s="87"/>
      <c r="I31" s="87"/>
    </row>
    <row r="32" spans="1:9" ht="16" customHeight="1" x14ac:dyDescent="0.2">
      <c r="A32" s="27" t="s">
        <v>53</v>
      </c>
      <c r="B32" s="24">
        <v>12</v>
      </c>
      <c r="C32" s="24">
        <v>11</v>
      </c>
      <c r="D32" s="24">
        <v>13</v>
      </c>
      <c r="E32" s="24">
        <v>15.5</v>
      </c>
      <c r="F32" s="24">
        <v>2</v>
      </c>
      <c r="G32" s="24">
        <v>3</v>
      </c>
      <c r="H32" s="25">
        <f t="shared" ref="H32:H33" si="2">AVERAGE(B32:E32)</f>
        <v>12.875</v>
      </c>
      <c r="I32" s="24" t="s">
        <v>1</v>
      </c>
    </row>
    <row r="33" spans="1:11" ht="15" customHeight="1" x14ac:dyDescent="0.2">
      <c r="A33" s="27" t="s">
        <v>54</v>
      </c>
      <c r="B33" s="24">
        <v>11</v>
      </c>
      <c r="C33" s="24">
        <v>13</v>
      </c>
      <c r="D33" s="24">
        <v>15</v>
      </c>
      <c r="E33" s="24">
        <v>14</v>
      </c>
      <c r="F33" s="24">
        <v>2</v>
      </c>
      <c r="G33" s="24">
        <v>2</v>
      </c>
      <c r="H33" s="25">
        <f t="shared" si="2"/>
        <v>13.25</v>
      </c>
      <c r="I33" s="24" t="s">
        <v>1</v>
      </c>
    </row>
    <row r="34" spans="1:11" ht="15" customHeight="1" x14ac:dyDescent="0.2">
      <c r="A34" s="13"/>
      <c r="B34" s="10"/>
      <c r="C34" s="10"/>
      <c r="D34" s="10"/>
      <c r="E34" s="10"/>
      <c r="F34" s="10"/>
      <c r="G34" s="10"/>
      <c r="H34" s="11"/>
      <c r="I34" s="10"/>
    </row>
    <row r="35" spans="1:11" ht="20" customHeight="1" x14ac:dyDescent="0.2">
      <c r="A35" s="87" t="s">
        <v>74</v>
      </c>
      <c r="B35" s="87"/>
      <c r="C35" s="87"/>
      <c r="D35" s="87"/>
      <c r="E35" s="87"/>
      <c r="F35" s="87"/>
      <c r="G35" s="87"/>
      <c r="H35" s="87"/>
      <c r="I35" s="87"/>
    </row>
    <row r="36" spans="1:11" ht="16" customHeight="1" x14ac:dyDescent="0.2">
      <c r="A36" s="27" t="s">
        <v>58</v>
      </c>
      <c r="B36" s="24">
        <v>13</v>
      </c>
      <c r="C36" s="24">
        <v>14</v>
      </c>
      <c r="D36" s="24">
        <v>11</v>
      </c>
      <c r="E36" s="24">
        <v>14</v>
      </c>
      <c r="F36" s="24">
        <v>2</v>
      </c>
      <c r="G36" s="24">
        <v>2</v>
      </c>
      <c r="H36" s="25">
        <f t="shared" ref="H36" si="3">AVERAGE(B36:E36)</f>
        <v>13</v>
      </c>
      <c r="I36" s="24" t="s">
        <v>1</v>
      </c>
    </row>
    <row r="37" spans="1:11" ht="15" customHeight="1" x14ac:dyDescent="0.2">
      <c r="A37" s="27" t="s">
        <v>59</v>
      </c>
      <c r="B37" s="24">
        <v>13</v>
      </c>
      <c r="C37" s="24">
        <v>15</v>
      </c>
      <c r="D37" s="24">
        <v>17</v>
      </c>
      <c r="E37" s="24">
        <v>17</v>
      </c>
      <c r="F37" s="24">
        <v>2</v>
      </c>
      <c r="G37" s="24">
        <v>3</v>
      </c>
      <c r="H37" s="25">
        <f>AVERAGE(B37:E37)</f>
        <v>15.5</v>
      </c>
      <c r="I37" s="24" t="s">
        <v>1</v>
      </c>
    </row>
    <row r="38" spans="1:11" x14ac:dyDescent="0.2">
      <c r="A38" s="67"/>
      <c r="B38" s="67"/>
      <c r="C38" s="67"/>
      <c r="D38" s="67"/>
      <c r="E38" s="67"/>
      <c r="F38" s="67"/>
      <c r="G38" s="67"/>
      <c r="H38" s="67"/>
      <c r="I38" s="67"/>
    </row>
    <row r="39" spans="1:11" s="16" customFormat="1" ht="20" customHeight="1" x14ac:dyDescent="0.2">
      <c r="A39" s="32" t="s">
        <v>33</v>
      </c>
      <c r="B39" s="88">
        <f>AVERAGE(H12:H37)</f>
        <v>13.051562499999999</v>
      </c>
      <c r="C39" s="88"/>
      <c r="D39" s="88"/>
      <c r="E39" s="88"/>
      <c r="F39" s="89" t="s">
        <v>34</v>
      </c>
      <c r="G39" s="89"/>
      <c r="H39" s="89"/>
      <c r="I39" s="33" t="s">
        <v>1</v>
      </c>
      <c r="J39" s="1"/>
      <c r="K39" s="1"/>
    </row>
    <row r="40" spans="1:11" s="16" customFormat="1" ht="20.2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  <c r="J40" s="1"/>
      <c r="K40" s="1"/>
    </row>
    <row r="41" spans="1:11" s="39" customFormat="1" ht="20" customHeight="1" x14ac:dyDescent="0.2">
      <c r="A41" s="40" t="s">
        <v>35</v>
      </c>
      <c r="B41" s="68">
        <f>SUM(G12:G37)</f>
        <v>30</v>
      </c>
      <c r="C41" s="68"/>
      <c r="D41" s="68"/>
      <c r="E41" s="68"/>
      <c r="F41" s="69" t="s">
        <v>42</v>
      </c>
      <c r="G41" s="69"/>
      <c r="H41" s="69"/>
      <c r="I41" s="34" t="s">
        <v>70</v>
      </c>
      <c r="J41" s="38"/>
      <c r="K41" s="38"/>
    </row>
    <row r="42" spans="1:11" s="16" customFormat="1" ht="22.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  <c r="J42" s="1"/>
      <c r="K42" s="1"/>
    </row>
    <row r="43" spans="1:11" s="39" customFormat="1" ht="20" customHeight="1" x14ac:dyDescent="0.2">
      <c r="A43" s="35" t="s">
        <v>36</v>
      </c>
      <c r="B43" s="51" t="s">
        <v>39</v>
      </c>
      <c r="C43" s="51"/>
      <c r="D43" s="51"/>
      <c r="E43" s="51"/>
      <c r="F43" s="95" t="s">
        <v>71</v>
      </c>
      <c r="G43" s="95"/>
      <c r="H43" s="95"/>
      <c r="I43" s="95"/>
      <c r="J43" s="38"/>
      <c r="K43" s="38"/>
    </row>
    <row r="44" spans="1:11" s="16" customFormat="1" ht="10" customHeight="1" x14ac:dyDescent="0.2">
      <c r="A44" s="96"/>
      <c r="B44" s="96"/>
      <c r="C44" s="96"/>
      <c r="D44" s="96"/>
      <c r="E44" s="96"/>
      <c r="F44" s="96"/>
      <c r="G44" s="96"/>
      <c r="H44" s="96"/>
      <c r="I44" s="96"/>
      <c r="J44" s="1"/>
      <c r="K44" s="1"/>
    </row>
    <row r="45" spans="1:11" s="16" customFormat="1" ht="22.5" customHeight="1" x14ac:dyDescent="0.2">
      <c r="A45" s="93" t="s">
        <v>37</v>
      </c>
      <c r="B45" s="93"/>
      <c r="C45" s="93"/>
      <c r="D45" s="93"/>
      <c r="E45" s="94" t="s">
        <v>38</v>
      </c>
      <c r="F45" s="94"/>
      <c r="G45" s="94"/>
      <c r="H45" s="94"/>
      <c r="I45" s="94"/>
      <c r="J45" s="1"/>
      <c r="K45" s="1"/>
    </row>
    <row r="46" spans="1:11" s="16" customFormat="1" ht="22.5" customHeight="1" x14ac:dyDescent="0.2">
      <c r="A46" s="77" t="s">
        <v>40</v>
      </c>
      <c r="B46" s="78"/>
      <c r="C46" s="78"/>
      <c r="D46" s="79"/>
      <c r="E46" s="52" t="s">
        <v>44</v>
      </c>
      <c r="F46" s="53"/>
      <c r="G46" s="53"/>
      <c r="H46" s="53"/>
      <c r="I46" s="54"/>
      <c r="J46" s="1"/>
      <c r="K46" s="1"/>
    </row>
    <row r="47" spans="1:11" s="16" customFormat="1" ht="22.5" customHeight="1" x14ac:dyDescent="0.2">
      <c r="A47" s="80"/>
      <c r="B47" s="81"/>
      <c r="C47" s="81"/>
      <c r="D47" s="82"/>
      <c r="E47" s="55"/>
      <c r="F47" s="56"/>
      <c r="G47" s="56"/>
      <c r="H47" s="56"/>
      <c r="I47" s="57"/>
      <c r="J47" s="1"/>
      <c r="K47" s="1"/>
    </row>
    <row r="48" spans="1:11" s="16" customFormat="1" ht="22.5" customHeight="1" x14ac:dyDescent="0.2">
      <c r="A48" s="80"/>
      <c r="B48" s="81"/>
      <c r="C48" s="81"/>
      <c r="D48" s="82"/>
      <c r="E48" s="55"/>
      <c r="F48" s="56"/>
      <c r="G48" s="56"/>
      <c r="H48" s="56"/>
      <c r="I48" s="57"/>
      <c r="J48" s="1"/>
      <c r="K48" s="1"/>
    </row>
    <row r="49" spans="1:11" s="16" customFormat="1" ht="18" customHeight="1" x14ac:dyDescent="0.2">
      <c r="A49" s="80"/>
      <c r="B49" s="81"/>
      <c r="C49" s="81"/>
      <c r="D49" s="82"/>
      <c r="E49" s="55"/>
      <c r="F49" s="56"/>
      <c r="G49" s="56"/>
      <c r="H49" s="56"/>
      <c r="I49" s="57"/>
      <c r="J49" s="1"/>
      <c r="K49" s="1"/>
    </row>
    <row r="50" spans="1:11" s="16" customFormat="1" ht="38" customHeight="1" x14ac:dyDescent="0.2">
      <c r="A50" s="83"/>
      <c r="B50" s="84"/>
      <c r="C50" s="84"/>
      <c r="D50" s="85"/>
      <c r="E50" s="58"/>
      <c r="F50" s="59"/>
      <c r="G50" s="59"/>
      <c r="H50" s="59"/>
      <c r="I50" s="60"/>
      <c r="J50" s="1"/>
      <c r="K50" s="1"/>
    </row>
    <row r="51" spans="1:11" s="16" customFormat="1" x14ac:dyDescent="0.2">
      <c r="A51" s="2"/>
      <c r="B51" s="2"/>
      <c r="C51" s="2"/>
      <c r="D51" s="2"/>
      <c r="E51" s="1"/>
      <c r="F51" s="1"/>
      <c r="G51" s="1"/>
      <c r="H51" s="1"/>
      <c r="I51" s="1"/>
      <c r="J51" s="1"/>
      <c r="K51" s="1"/>
    </row>
  </sheetData>
  <mergeCells count="38">
    <mergeCell ref="A46:D50"/>
    <mergeCell ref="E46:I50"/>
    <mergeCell ref="A45:D45"/>
    <mergeCell ref="E45:I45"/>
    <mergeCell ref="A40:I40"/>
    <mergeCell ref="B41:E41"/>
    <mergeCell ref="A42:I42"/>
    <mergeCell ref="B43:E43"/>
    <mergeCell ref="F43:I43"/>
    <mergeCell ref="A44:I44"/>
    <mergeCell ref="A11:I11"/>
    <mergeCell ref="A15:I15"/>
    <mergeCell ref="A16:I16"/>
    <mergeCell ref="A21:I21"/>
    <mergeCell ref="A26:I26"/>
    <mergeCell ref="A31:I31"/>
    <mergeCell ref="A35:I35"/>
    <mergeCell ref="B39:E39"/>
    <mergeCell ref="F39:H39"/>
    <mergeCell ref="F41:H41"/>
    <mergeCell ref="A38:I38"/>
    <mergeCell ref="I9:I10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1:I1"/>
    <mergeCell ref="A4:I4"/>
    <mergeCell ref="A5:F5"/>
    <mergeCell ref="G5:H5"/>
    <mergeCell ref="A6:F6"/>
    <mergeCell ref="G6:H6"/>
  </mergeCells>
  <conditionalFormatting sqref="I12:I14 I17:I20 I22:I25">
    <cfRule type="containsText" dxfId="51" priority="10" operator="containsText" text="AJOURNE">
      <formula>NOT(ISERROR(SEARCH("AJOURNE",I12)))</formula>
    </cfRule>
    <cfRule type="containsText" dxfId="50" priority="9" operator="containsText" text="ADMIS">
      <formula>NOT(ISERROR(SEARCH("ADMIS",I12)))</formula>
    </cfRule>
  </conditionalFormatting>
  <conditionalFormatting sqref="I27:I30">
    <cfRule type="containsText" dxfId="49" priority="6" operator="containsText" text="AJOURNE">
      <formula>NOT(ISERROR(SEARCH("AJOURNE",I27)))</formula>
    </cfRule>
    <cfRule type="containsText" dxfId="48" priority="5" operator="containsText" text="ADMIS">
      <formula>NOT(ISERROR(SEARCH("ADMIS",I27)))</formula>
    </cfRule>
  </conditionalFormatting>
  <conditionalFormatting sqref="I32:I34">
    <cfRule type="containsText" dxfId="47" priority="4" operator="containsText" text="AJOURNE">
      <formula>NOT(ISERROR(SEARCH("AJOURNE",I32)))</formula>
    </cfRule>
    <cfRule type="containsText" dxfId="46" priority="3" operator="containsText" text="ADMIS">
      <formula>NOT(ISERROR(SEARCH("ADMIS",I32)))</formula>
    </cfRule>
  </conditionalFormatting>
  <conditionalFormatting sqref="I36:I37">
    <cfRule type="containsText" dxfId="45" priority="1" operator="containsText" text="ADMIS">
      <formula>NOT(ISERROR(SEARCH("ADMIS",I36)))</formula>
    </cfRule>
    <cfRule type="containsText" dxfId="44" priority="2" operator="containsText" text="AJOURNE">
      <formula>NOT(ISERROR(SEARCH("AJOURNE",I36)))</formula>
    </cfRule>
  </conditionalFormatting>
  <conditionalFormatting sqref="I39">
    <cfRule type="containsText" dxfId="43" priority="8" operator="containsText" text="AJOURNE">
      <formula>NOT(ISERROR(SEARCH("AJOURNE",I39)))</formula>
    </cfRule>
    <cfRule type="containsText" dxfId="42" priority="7" operator="containsText" text="ADMIS">
      <formula>NOT(ISERROR(SEARCH("ADMIS",I39)))</formula>
    </cfRule>
  </conditionalFormatting>
  <dataValidations count="1">
    <dataValidation type="list" allowBlank="1" showInputMessage="1" showErrorMessage="1" sqref="I39 I12:I14 I17:I20 I22:I25 I27:I30 I32:I34 I36:I37" xr:uid="{DC355773-D6D4-CD4A-9417-FE09FF026695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851-A30A-B240-93C3-9F4DF1EB08B0}">
  <dimension ref="A1:N54"/>
  <sheetViews>
    <sheetView zoomScale="156" zoomScaleNormal="100" workbookViewId="0">
      <selection activeCell="A8" sqref="A8"/>
    </sheetView>
  </sheetViews>
  <sheetFormatPr baseColWidth="10" defaultColWidth="11.5" defaultRowHeight="15" x14ac:dyDescent="0.2"/>
  <cols>
    <col min="1" max="1" width="38.83203125" style="2" customWidth="1"/>
    <col min="2" max="4" width="6.6640625" style="2" customWidth="1"/>
    <col min="5" max="5" width="10" style="1" bestFit="1" customWidth="1"/>
    <col min="6" max="6" width="11.1640625" style="1" bestFit="1" customWidth="1"/>
    <col min="7" max="7" width="10.5" style="1" bestFit="1" customWidth="1"/>
    <col min="8" max="8" width="13" style="1" customWidth="1"/>
    <col min="9" max="9" width="14" style="1" customWidth="1"/>
    <col min="10" max="12" width="11.5" style="1"/>
    <col min="13" max="14" width="18.6640625" style="1" customWidth="1"/>
    <col min="15" max="16384" width="11.5" style="1"/>
  </cols>
  <sheetData>
    <row r="1" spans="1:14" ht="47.25" customHeight="1" x14ac:dyDescent="0.2">
      <c r="A1" s="41" t="s">
        <v>94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4"/>
    </row>
    <row r="3" spans="1:14" s="7" customFormat="1" x14ac:dyDescent="0.2">
      <c r="A3" s="5"/>
      <c r="B3" s="6"/>
      <c r="C3" s="6"/>
      <c r="D3" s="6"/>
      <c r="E3" s="6"/>
      <c r="F3" s="6"/>
      <c r="G3" s="6"/>
      <c r="H3" s="6"/>
      <c r="I3" s="6"/>
      <c r="K3" s="8"/>
      <c r="M3" s="8"/>
      <c r="N3" s="8"/>
    </row>
    <row r="4" spans="1:14" s="7" customFormat="1" ht="20" x14ac:dyDescent="0.2">
      <c r="A4" s="86" t="s">
        <v>2</v>
      </c>
      <c r="B4" s="86"/>
      <c r="C4" s="86"/>
      <c r="D4" s="86"/>
      <c r="E4" s="86"/>
      <c r="F4" s="86"/>
      <c r="G4" s="86"/>
      <c r="H4" s="86"/>
      <c r="I4" s="86"/>
      <c r="K4" s="8"/>
      <c r="M4" s="8"/>
      <c r="N4" s="8"/>
    </row>
    <row r="5" spans="1:14" s="7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3</v>
      </c>
      <c r="K5" s="8"/>
      <c r="M5" s="8"/>
      <c r="N5" s="8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8"/>
      <c r="N6" s="8"/>
    </row>
    <row r="7" spans="1:14" ht="16" x14ac:dyDescent="0.2">
      <c r="A7" s="43" t="s">
        <v>159</v>
      </c>
      <c r="B7" s="43"/>
      <c r="C7" s="43"/>
      <c r="D7" s="43"/>
      <c r="E7" s="43"/>
      <c r="F7" s="43"/>
      <c r="G7" s="44" t="s">
        <v>9</v>
      </c>
      <c r="H7" s="44"/>
      <c r="I7" s="21" t="s">
        <v>75</v>
      </c>
      <c r="M7" s="8"/>
      <c r="N7" s="8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8"/>
      <c r="N8" s="8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8"/>
      <c r="N9" s="8"/>
    </row>
    <row r="10" spans="1:14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ht="20.25" customHeight="1" x14ac:dyDescent="0.2">
      <c r="A11" s="87" t="s">
        <v>21</v>
      </c>
      <c r="B11" s="87"/>
      <c r="C11" s="87"/>
      <c r="D11" s="87"/>
      <c r="E11" s="87"/>
      <c r="F11" s="87"/>
      <c r="G11" s="87"/>
      <c r="H11" s="87"/>
      <c r="I11" s="87"/>
    </row>
    <row r="12" spans="1:14" ht="20.25" customHeight="1" x14ac:dyDescent="0.2">
      <c r="A12" s="26" t="s">
        <v>76</v>
      </c>
      <c r="B12" s="24">
        <v>12</v>
      </c>
      <c r="C12" s="24">
        <v>14</v>
      </c>
      <c r="D12" s="24">
        <v>13</v>
      </c>
      <c r="E12" s="24">
        <v>14</v>
      </c>
      <c r="F12" s="24">
        <v>1</v>
      </c>
      <c r="G12" s="24">
        <v>1</v>
      </c>
      <c r="H12" s="25">
        <f>AVERAGE(B12:E12)</f>
        <v>13.25</v>
      </c>
      <c r="I12" s="24" t="s">
        <v>1</v>
      </c>
    </row>
    <row r="13" spans="1:14" ht="20.25" customHeight="1" x14ac:dyDescent="0.2">
      <c r="A13" s="27" t="s">
        <v>77</v>
      </c>
      <c r="B13" s="24">
        <v>15</v>
      </c>
      <c r="C13" s="24">
        <v>15</v>
      </c>
      <c r="D13" s="24">
        <v>14</v>
      </c>
      <c r="E13" s="24">
        <v>16</v>
      </c>
      <c r="F13" s="24">
        <v>1</v>
      </c>
      <c r="G13" s="24">
        <v>1</v>
      </c>
      <c r="H13" s="25">
        <f t="shared" ref="H13:H24" si="0">AVERAGE(B13:E13)</f>
        <v>15</v>
      </c>
      <c r="I13" s="24" t="s">
        <v>1</v>
      </c>
    </row>
    <row r="14" spans="1:14" ht="20.25" customHeight="1" x14ac:dyDescent="0.2">
      <c r="A14" s="27" t="s">
        <v>84</v>
      </c>
      <c r="B14" s="24">
        <v>9</v>
      </c>
      <c r="C14" s="24">
        <v>11</v>
      </c>
      <c r="D14" s="24">
        <v>10</v>
      </c>
      <c r="E14" s="24">
        <v>13</v>
      </c>
      <c r="F14" s="24">
        <v>1</v>
      </c>
      <c r="G14" s="24">
        <v>1</v>
      </c>
      <c r="H14" s="25">
        <f t="shared" ref="H14" si="1">AVERAGE(B14:E14)</f>
        <v>10.75</v>
      </c>
      <c r="I14" s="24" t="s">
        <v>1</v>
      </c>
    </row>
    <row r="15" spans="1:14" ht="20.25" customHeight="1" x14ac:dyDescent="0.2">
      <c r="A15" s="27" t="s">
        <v>78</v>
      </c>
      <c r="B15" s="24">
        <v>10</v>
      </c>
      <c r="C15" s="24">
        <v>14</v>
      </c>
      <c r="D15" s="24">
        <v>13</v>
      </c>
      <c r="E15" s="24">
        <v>12</v>
      </c>
      <c r="F15" s="24">
        <v>1</v>
      </c>
      <c r="G15" s="24">
        <v>1</v>
      </c>
      <c r="H15" s="25">
        <f t="shared" si="0"/>
        <v>12.25</v>
      </c>
      <c r="I15" s="24" t="s">
        <v>1</v>
      </c>
    </row>
    <row r="16" spans="1:14" x14ac:dyDescent="0.2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20.25" customHeight="1" x14ac:dyDescent="0.2">
      <c r="A17" s="92" t="s">
        <v>81</v>
      </c>
      <c r="B17" s="92"/>
      <c r="C17" s="92"/>
      <c r="D17" s="92"/>
      <c r="E17" s="92"/>
      <c r="F17" s="92"/>
      <c r="G17" s="92"/>
      <c r="H17" s="92"/>
      <c r="I17" s="92"/>
    </row>
    <row r="18" spans="1:9" ht="16" customHeight="1" x14ac:dyDescent="0.2">
      <c r="A18" s="30" t="s">
        <v>79</v>
      </c>
      <c r="B18" s="24">
        <v>13</v>
      </c>
      <c r="C18" s="24">
        <v>16</v>
      </c>
      <c r="D18" s="24">
        <v>15</v>
      </c>
      <c r="E18" s="24">
        <v>17</v>
      </c>
      <c r="F18" s="24">
        <v>2</v>
      </c>
      <c r="G18" s="24">
        <v>2</v>
      </c>
      <c r="H18" s="25">
        <f t="shared" si="0"/>
        <v>15.25</v>
      </c>
      <c r="I18" s="24" t="s">
        <v>1</v>
      </c>
    </row>
    <row r="19" spans="1:9" ht="16" customHeight="1" x14ac:dyDescent="0.2">
      <c r="A19" s="26" t="s">
        <v>80</v>
      </c>
      <c r="B19" s="24">
        <v>14</v>
      </c>
      <c r="C19" s="24">
        <v>9</v>
      </c>
      <c r="D19" s="24">
        <v>12</v>
      </c>
      <c r="E19" s="24">
        <v>13.5</v>
      </c>
      <c r="F19" s="24">
        <v>1</v>
      </c>
      <c r="G19" s="24">
        <v>1</v>
      </c>
      <c r="H19" s="25">
        <f t="shared" si="0"/>
        <v>12.125</v>
      </c>
      <c r="I19" s="24" t="s">
        <v>1</v>
      </c>
    </row>
    <row r="20" spans="1:9" ht="15" customHeight="1" x14ac:dyDescent="0.2">
      <c r="A20" s="27" t="s">
        <v>82</v>
      </c>
      <c r="B20" s="24">
        <v>14</v>
      </c>
      <c r="C20" s="24">
        <v>12.5</v>
      </c>
      <c r="D20" s="24">
        <v>15</v>
      </c>
      <c r="E20" s="24">
        <v>16</v>
      </c>
      <c r="F20" s="24">
        <v>1</v>
      </c>
      <c r="G20" s="24">
        <v>1</v>
      </c>
      <c r="H20" s="25">
        <f t="shared" si="0"/>
        <v>14.375</v>
      </c>
      <c r="I20" s="24" t="s">
        <v>1</v>
      </c>
    </row>
    <row r="21" spans="1:9" ht="16" customHeight="1" x14ac:dyDescent="0.2">
      <c r="A21" s="27" t="s">
        <v>83</v>
      </c>
      <c r="B21" s="24">
        <v>13</v>
      </c>
      <c r="C21" s="24">
        <v>12</v>
      </c>
      <c r="D21" s="24">
        <v>12</v>
      </c>
      <c r="E21" s="24">
        <v>17</v>
      </c>
      <c r="F21" s="24">
        <v>1</v>
      </c>
      <c r="G21" s="24">
        <v>1</v>
      </c>
      <c r="H21" s="25">
        <f t="shared" si="0"/>
        <v>13.5</v>
      </c>
      <c r="I21" s="24" t="s">
        <v>1</v>
      </c>
    </row>
    <row r="22" spans="1:9" ht="15" customHeight="1" x14ac:dyDescent="0.2">
      <c r="A22" s="71"/>
      <c r="B22" s="71"/>
      <c r="C22" s="71"/>
      <c r="D22" s="71"/>
      <c r="E22" s="71"/>
      <c r="F22" s="71"/>
      <c r="G22" s="71"/>
      <c r="H22" s="71"/>
      <c r="I22" s="71"/>
    </row>
    <row r="23" spans="1:9" ht="20" customHeight="1" x14ac:dyDescent="0.2">
      <c r="A23" s="87" t="s">
        <v>85</v>
      </c>
      <c r="B23" s="87"/>
      <c r="C23" s="87"/>
      <c r="D23" s="87"/>
      <c r="E23" s="87"/>
      <c r="F23" s="87"/>
      <c r="G23" s="87"/>
      <c r="H23" s="87"/>
      <c r="I23" s="87"/>
    </row>
    <row r="24" spans="1:9" x14ac:dyDescent="0.2">
      <c r="A24" s="30" t="s">
        <v>86</v>
      </c>
      <c r="B24" s="24">
        <v>12</v>
      </c>
      <c r="C24" s="24">
        <v>11</v>
      </c>
      <c r="D24" s="24">
        <v>14</v>
      </c>
      <c r="E24" s="24">
        <v>15</v>
      </c>
      <c r="F24" s="24">
        <v>1</v>
      </c>
      <c r="G24" s="24">
        <v>1</v>
      </c>
      <c r="H24" s="25">
        <f t="shared" si="0"/>
        <v>13</v>
      </c>
      <c r="I24" s="24" t="s">
        <v>1</v>
      </c>
    </row>
    <row r="25" spans="1:9" ht="20.25" customHeight="1" x14ac:dyDescent="0.2">
      <c r="A25" s="30" t="s">
        <v>87</v>
      </c>
      <c r="B25" s="24">
        <v>9</v>
      </c>
      <c r="C25" s="24">
        <v>9</v>
      </c>
      <c r="D25" s="24">
        <v>13</v>
      </c>
      <c r="E25" s="24">
        <v>12</v>
      </c>
      <c r="F25" s="24">
        <v>1</v>
      </c>
      <c r="G25" s="24">
        <v>1</v>
      </c>
      <c r="H25" s="25">
        <f>AVERAGE(B25:E25)</f>
        <v>10.75</v>
      </c>
      <c r="I25" s="24" t="s">
        <v>1</v>
      </c>
    </row>
    <row r="26" spans="1:9" ht="16" customHeight="1" x14ac:dyDescent="0.2">
      <c r="A26" s="30" t="s">
        <v>88</v>
      </c>
      <c r="B26" s="24">
        <v>14</v>
      </c>
      <c r="C26" s="24">
        <v>12</v>
      </c>
      <c r="D26" s="24">
        <v>13.5</v>
      </c>
      <c r="E26" s="24">
        <v>14</v>
      </c>
      <c r="F26" s="24">
        <v>2</v>
      </c>
      <c r="G26" s="24">
        <v>2</v>
      </c>
      <c r="H26" s="25">
        <f>AVERAGE(B26:E26)</f>
        <v>13.375</v>
      </c>
      <c r="I26" s="24" t="s">
        <v>1</v>
      </c>
    </row>
    <row r="27" spans="1:9" ht="15" customHeight="1" x14ac:dyDescent="0.2">
      <c r="A27" s="98"/>
      <c r="B27" s="98"/>
      <c r="C27" s="98"/>
      <c r="D27" s="98"/>
      <c r="E27" s="98"/>
      <c r="F27" s="98"/>
      <c r="G27" s="98"/>
      <c r="H27" s="98"/>
      <c r="I27" s="98"/>
    </row>
    <row r="28" spans="1:9" s="10" customFormat="1" ht="20" customHeight="1" x14ac:dyDescent="0.2">
      <c r="A28" s="87" t="s">
        <v>51</v>
      </c>
      <c r="B28" s="87"/>
      <c r="C28" s="87"/>
      <c r="D28" s="87"/>
      <c r="E28" s="87"/>
      <c r="F28" s="87"/>
      <c r="G28" s="87"/>
      <c r="H28" s="87"/>
      <c r="I28" s="87"/>
    </row>
    <row r="29" spans="1:9" s="10" customFormat="1" ht="14" x14ac:dyDescent="0.2">
      <c r="A29" s="30" t="s">
        <v>89</v>
      </c>
      <c r="B29" s="24">
        <v>14</v>
      </c>
      <c r="C29" s="24">
        <v>15</v>
      </c>
      <c r="D29" s="24">
        <v>12.5</v>
      </c>
      <c r="E29" s="24">
        <v>16</v>
      </c>
      <c r="F29" s="24">
        <v>3</v>
      </c>
      <c r="G29" s="24">
        <v>3</v>
      </c>
      <c r="H29" s="25">
        <f t="shared" ref="H29:H30" si="2">AVERAGE(B29:E29)</f>
        <v>14.375</v>
      </c>
      <c r="I29" s="24" t="s">
        <v>1</v>
      </c>
    </row>
    <row r="30" spans="1:9" s="10" customFormat="1" ht="15" customHeight="1" x14ac:dyDescent="0.2">
      <c r="A30" s="26" t="s">
        <v>90</v>
      </c>
      <c r="B30" s="24">
        <v>14</v>
      </c>
      <c r="C30" s="24">
        <v>12</v>
      </c>
      <c r="D30" s="24">
        <v>14</v>
      </c>
      <c r="E30" s="24">
        <v>13</v>
      </c>
      <c r="F30" s="24">
        <v>2</v>
      </c>
      <c r="G30" s="24">
        <v>2</v>
      </c>
      <c r="H30" s="25">
        <f t="shared" si="2"/>
        <v>13.25</v>
      </c>
      <c r="I30" s="24" t="s">
        <v>1</v>
      </c>
    </row>
    <row r="31" spans="1:9" s="10" customFormat="1" ht="15" customHeight="1" x14ac:dyDescent="0.2">
      <c r="A31" s="30" t="s">
        <v>124</v>
      </c>
      <c r="B31" s="24">
        <v>11</v>
      </c>
      <c r="C31" s="24">
        <v>13</v>
      </c>
      <c r="D31" s="24">
        <v>17</v>
      </c>
      <c r="E31" s="24">
        <v>16</v>
      </c>
      <c r="F31" s="24">
        <v>1</v>
      </c>
      <c r="G31" s="24">
        <v>1</v>
      </c>
      <c r="H31" s="25">
        <f>AVERAGE(B31:F31)</f>
        <v>11.6</v>
      </c>
      <c r="I31" s="24" t="s">
        <v>1</v>
      </c>
    </row>
    <row r="32" spans="1:9" s="10" customFormat="1" ht="15" customHeight="1" x14ac:dyDescent="0.2">
      <c r="A32" s="30" t="s">
        <v>91</v>
      </c>
      <c r="B32" s="24">
        <v>13</v>
      </c>
      <c r="C32" s="24">
        <v>13</v>
      </c>
      <c r="D32" s="24">
        <v>11</v>
      </c>
      <c r="E32" s="24">
        <v>15.5</v>
      </c>
      <c r="F32" s="24">
        <v>1</v>
      </c>
      <c r="G32" s="24">
        <v>1</v>
      </c>
      <c r="H32" s="25">
        <f>AVERAGE(B32:F32)</f>
        <v>10.7</v>
      </c>
      <c r="I32" s="24" t="s">
        <v>1</v>
      </c>
    </row>
    <row r="33" spans="1:11" ht="15" customHeight="1" x14ac:dyDescent="0.2">
      <c r="A33" s="102"/>
      <c r="B33" s="102"/>
      <c r="C33" s="102"/>
      <c r="D33" s="102"/>
      <c r="E33" s="102"/>
      <c r="F33" s="102"/>
      <c r="G33" s="102"/>
      <c r="H33" s="102"/>
      <c r="I33" s="102"/>
    </row>
    <row r="34" spans="1:11" ht="20" customHeight="1" x14ac:dyDescent="0.2">
      <c r="A34" s="87" t="s">
        <v>52</v>
      </c>
      <c r="B34" s="87"/>
      <c r="C34" s="87"/>
      <c r="D34" s="87"/>
      <c r="E34" s="87"/>
      <c r="F34" s="87"/>
      <c r="G34" s="87"/>
      <c r="H34" s="87"/>
      <c r="I34" s="87"/>
    </row>
    <row r="35" spans="1:11" ht="16" customHeight="1" x14ac:dyDescent="0.2">
      <c r="A35" s="27" t="s">
        <v>56</v>
      </c>
      <c r="B35" s="24">
        <v>14</v>
      </c>
      <c r="C35" s="24">
        <v>15</v>
      </c>
      <c r="D35" s="24">
        <v>12</v>
      </c>
      <c r="E35" s="24">
        <v>15.5</v>
      </c>
      <c r="F35" s="24">
        <v>2</v>
      </c>
      <c r="G35" s="24">
        <v>3</v>
      </c>
      <c r="H35" s="25">
        <f>AVERAGE(B35:E35)</f>
        <v>14.125</v>
      </c>
      <c r="I35" s="24" t="s">
        <v>1</v>
      </c>
    </row>
    <row r="36" spans="1:11" ht="15" customHeight="1" x14ac:dyDescent="0.2">
      <c r="A36" s="27" t="s">
        <v>92</v>
      </c>
      <c r="B36" s="24">
        <v>15</v>
      </c>
      <c r="C36" s="24">
        <v>16</v>
      </c>
      <c r="D36" s="24">
        <v>17</v>
      </c>
      <c r="E36" s="24">
        <v>18</v>
      </c>
      <c r="F36" s="24">
        <v>2</v>
      </c>
      <c r="G36" s="24">
        <v>3</v>
      </c>
      <c r="H36" s="25">
        <f t="shared" ref="H36" si="3">AVERAGE(B36:E36)</f>
        <v>16.5</v>
      </c>
      <c r="I36" s="24" t="s">
        <v>1</v>
      </c>
    </row>
    <row r="37" spans="1:11" ht="15" customHeight="1" x14ac:dyDescent="0.2">
      <c r="A37" s="71"/>
      <c r="B37" s="71"/>
      <c r="C37" s="71"/>
      <c r="D37" s="71"/>
      <c r="E37" s="71"/>
      <c r="F37" s="71"/>
      <c r="G37" s="71"/>
      <c r="H37" s="71"/>
      <c r="I37" s="71"/>
    </row>
    <row r="38" spans="1:11" ht="20" customHeight="1" x14ac:dyDescent="0.2">
      <c r="A38" s="87" t="s">
        <v>57</v>
      </c>
      <c r="B38" s="87"/>
      <c r="C38" s="87"/>
      <c r="D38" s="87"/>
      <c r="E38" s="87"/>
      <c r="F38" s="87"/>
      <c r="G38" s="87"/>
      <c r="H38" s="87"/>
      <c r="I38" s="87"/>
    </row>
    <row r="39" spans="1:11" ht="16" customHeight="1" x14ac:dyDescent="0.2">
      <c r="A39" s="27" t="s">
        <v>128</v>
      </c>
      <c r="B39" s="24">
        <v>12</v>
      </c>
      <c r="C39" s="24">
        <v>11</v>
      </c>
      <c r="D39" s="24">
        <v>14</v>
      </c>
      <c r="E39" s="24">
        <v>15.5</v>
      </c>
      <c r="F39" s="24">
        <v>2</v>
      </c>
      <c r="G39" s="24">
        <v>2</v>
      </c>
      <c r="H39" s="25">
        <f t="shared" ref="H39:H40" si="4">AVERAGE(B39:E39)</f>
        <v>13.125</v>
      </c>
      <c r="I39" s="24" t="s">
        <v>1</v>
      </c>
    </row>
    <row r="40" spans="1:11" ht="15" customHeight="1" x14ac:dyDescent="0.2">
      <c r="A40" s="27" t="s">
        <v>93</v>
      </c>
      <c r="B40" s="24">
        <v>15</v>
      </c>
      <c r="C40" s="24">
        <v>15</v>
      </c>
      <c r="D40" s="24">
        <v>13</v>
      </c>
      <c r="E40" s="24">
        <v>16</v>
      </c>
      <c r="F40" s="24">
        <v>2</v>
      </c>
      <c r="G40" s="24">
        <v>2</v>
      </c>
      <c r="H40" s="25">
        <f t="shared" si="4"/>
        <v>14.75</v>
      </c>
      <c r="I40" s="24" t="s">
        <v>1</v>
      </c>
    </row>
    <row r="41" spans="1:11" x14ac:dyDescent="0.2">
      <c r="A41" s="67"/>
      <c r="B41" s="67"/>
      <c r="C41" s="67"/>
      <c r="D41" s="67"/>
      <c r="E41" s="67"/>
      <c r="F41" s="67"/>
      <c r="G41" s="67"/>
      <c r="H41" s="67"/>
      <c r="I41" s="67"/>
    </row>
    <row r="42" spans="1:11" s="16" customFormat="1" ht="20" customHeight="1" x14ac:dyDescent="0.2">
      <c r="A42" s="32" t="s">
        <v>33</v>
      </c>
      <c r="B42" s="88">
        <f>AVERAGE(H12:H40)</f>
        <v>13.26578947368421</v>
      </c>
      <c r="C42" s="88"/>
      <c r="D42" s="88"/>
      <c r="E42" s="88"/>
      <c r="F42" s="89" t="s">
        <v>34</v>
      </c>
      <c r="G42" s="89"/>
      <c r="H42" s="89"/>
      <c r="I42" s="33" t="s">
        <v>1</v>
      </c>
      <c r="J42" s="1"/>
      <c r="K42" s="1"/>
    </row>
    <row r="43" spans="1:11" s="16" customFormat="1" ht="20.2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  <c r="J43" s="1"/>
      <c r="K43" s="1"/>
    </row>
    <row r="44" spans="1:11" s="16" customFormat="1" ht="20" customHeight="1" x14ac:dyDescent="0.2">
      <c r="A44" s="40" t="s">
        <v>35</v>
      </c>
      <c r="B44" s="68">
        <f>SUM(G12:G40)</f>
        <v>30</v>
      </c>
      <c r="C44" s="68"/>
      <c r="D44" s="68"/>
      <c r="E44" s="68"/>
      <c r="F44" s="69" t="s">
        <v>42</v>
      </c>
      <c r="G44" s="69"/>
      <c r="H44" s="69"/>
      <c r="I44" s="34" t="s">
        <v>95</v>
      </c>
      <c r="J44" s="1"/>
      <c r="K44" s="1"/>
    </row>
    <row r="45" spans="1:11" s="16" customFormat="1" ht="22.5" customHeight="1" x14ac:dyDescent="0.2">
      <c r="A45" s="76"/>
      <c r="B45" s="76"/>
      <c r="C45" s="76"/>
      <c r="D45" s="76"/>
      <c r="E45" s="76"/>
      <c r="F45" s="76"/>
      <c r="G45" s="76"/>
      <c r="H45" s="76"/>
      <c r="I45" s="76"/>
      <c r="J45" s="1"/>
      <c r="K45" s="1"/>
    </row>
    <row r="46" spans="1:11" s="39" customFormat="1" ht="22.5" customHeight="1" x14ac:dyDescent="0.2">
      <c r="A46" s="35" t="s">
        <v>36</v>
      </c>
      <c r="B46" s="51" t="s">
        <v>39</v>
      </c>
      <c r="C46" s="51"/>
      <c r="D46" s="51"/>
      <c r="E46" s="51"/>
      <c r="F46" s="95" t="s">
        <v>96</v>
      </c>
      <c r="G46" s="95"/>
      <c r="H46" s="95"/>
      <c r="I46" s="95"/>
      <c r="J46" s="38"/>
      <c r="K46" s="38"/>
    </row>
    <row r="47" spans="1:11" s="16" customFormat="1" ht="10" customHeight="1" x14ac:dyDescent="0.2">
      <c r="A47" s="101"/>
      <c r="B47" s="101"/>
      <c r="C47" s="101"/>
      <c r="D47" s="101"/>
      <c r="E47" s="101"/>
      <c r="F47" s="101"/>
      <c r="G47" s="101"/>
      <c r="H47" s="101"/>
      <c r="I47" s="101"/>
      <c r="J47" s="1"/>
      <c r="K47" s="1"/>
    </row>
    <row r="48" spans="1:11" s="16" customFormat="1" ht="22.5" customHeight="1" x14ac:dyDescent="0.2">
      <c r="A48" s="49" t="s">
        <v>37</v>
      </c>
      <c r="B48" s="49"/>
      <c r="C48" s="49"/>
      <c r="D48" s="49"/>
      <c r="E48" s="49"/>
      <c r="F48" s="50" t="s">
        <v>38</v>
      </c>
      <c r="G48" s="50"/>
      <c r="H48" s="50"/>
      <c r="I48" s="50"/>
      <c r="J48" s="1"/>
      <c r="K48" s="1"/>
    </row>
    <row r="49" spans="1:11" s="16" customFormat="1" ht="22.5" customHeight="1" x14ac:dyDescent="0.2">
      <c r="A49" s="99" t="s">
        <v>40</v>
      </c>
      <c r="B49" s="99"/>
      <c r="C49" s="99"/>
      <c r="D49" s="99"/>
      <c r="E49" s="100" t="s">
        <v>44</v>
      </c>
      <c r="F49" s="100"/>
      <c r="G49" s="100"/>
      <c r="H49" s="100"/>
      <c r="I49" s="100"/>
      <c r="J49" s="1"/>
      <c r="K49" s="1"/>
    </row>
    <row r="50" spans="1:11" s="16" customFormat="1" ht="22.5" customHeight="1" x14ac:dyDescent="0.2">
      <c r="A50" s="99"/>
      <c r="B50" s="99"/>
      <c r="C50" s="99"/>
      <c r="D50" s="99"/>
      <c r="E50" s="100"/>
      <c r="F50" s="100"/>
      <c r="G50" s="100"/>
      <c r="H50" s="100"/>
      <c r="I50" s="100"/>
      <c r="J50" s="1"/>
      <c r="K50" s="1"/>
    </row>
    <row r="51" spans="1:11" s="16" customFormat="1" ht="22.5" customHeight="1" x14ac:dyDescent="0.2">
      <c r="A51" s="99"/>
      <c r="B51" s="99"/>
      <c r="C51" s="99"/>
      <c r="D51" s="99"/>
      <c r="E51" s="100"/>
      <c r="F51" s="100"/>
      <c r="G51" s="100"/>
      <c r="H51" s="100"/>
      <c r="I51" s="100"/>
      <c r="J51" s="1"/>
      <c r="K51" s="1"/>
    </row>
    <row r="52" spans="1:11" s="16" customFormat="1" ht="18" customHeight="1" x14ac:dyDescent="0.2">
      <c r="A52" s="99"/>
      <c r="B52" s="99"/>
      <c r="C52" s="99"/>
      <c r="D52" s="99"/>
      <c r="E52" s="100"/>
      <c r="F52" s="100"/>
      <c r="G52" s="100"/>
      <c r="H52" s="100"/>
      <c r="I52" s="100"/>
      <c r="J52" s="1"/>
      <c r="K52" s="1"/>
    </row>
    <row r="53" spans="1:11" s="16" customFormat="1" ht="38" customHeight="1" x14ac:dyDescent="0.2">
      <c r="A53" s="99"/>
      <c r="B53" s="99"/>
      <c r="C53" s="99"/>
      <c r="D53" s="99"/>
      <c r="E53" s="100"/>
      <c r="F53" s="100"/>
      <c r="G53" s="100"/>
      <c r="H53" s="100"/>
      <c r="I53" s="100"/>
      <c r="J53" s="1"/>
      <c r="K53" s="1"/>
    </row>
    <row r="54" spans="1:11" s="16" customFormat="1" x14ac:dyDescent="0.2">
      <c r="A54" s="2"/>
      <c r="B54" s="2"/>
      <c r="C54" s="2"/>
      <c r="D54" s="2"/>
      <c r="E54" s="1"/>
      <c r="F54" s="1"/>
      <c r="G54" s="1"/>
      <c r="H54" s="1"/>
      <c r="I54" s="1"/>
      <c r="J54" s="1"/>
      <c r="K54" s="1"/>
    </row>
  </sheetData>
  <mergeCells count="42">
    <mergeCell ref="A33:I33"/>
    <mergeCell ref="A34:I34"/>
    <mergeCell ref="A38:I38"/>
    <mergeCell ref="B42:E42"/>
    <mergeCell ref="A43:I43"/>
    <mergeCell ref="A41:I41"/>
    <mergeCell ref="A49:D53"/>
    <mergeCell ref="E49:I53"/>
    <mergeCell ref="A47:I47"/>
    <mergeCell ref="B44:E44"/>
    <mergeCell ref="A45:I45"/>
    <mergeCell ref="B46:E46"/>
    <mergeCell ref="F46:I46"/>
    <mergeCell ref="A48:E48"/>
    <mergeCell ref="F48:I48"/>
    <mergeCell ref="A23:I23"/>
    <mergeCell ref="A22:I22"/>
    <mergeCell ref="A16:I16"/>
    <mergeCell ref="A28:I28"/>
    <mergeCell ref="A27:I27"/>
    <mergeCell ref="F42:H42"/>
    <mergeCell ref="F44:H44"/>
    <mergeCell ref="I9:I10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37:I37"/>
    <mergeCell ref="A11:I11"/>
    <mergeCell ref="A17:I17"/>
    <mergeCell ref="A1:I1"/>
    <mergeCell ref="A4:I4"/>
    <mergeCell ref="A5:F5"/>
    <mergeCell ref="G5:H5"/>
    <mergeCell ref="A6:F6"/>
    <mergeCell ref="G6:H6"/>
  </mergeCells>
  <conditionalFormatting sqref="I12:I15 I18:I21 I24:I26">
    <cfRule type="containsText" dxfId="41" priority="10" operator="containsText" text="AJOURNE">
      <formula>NOT(ISERROR(SEARCH("AJOURNE",I12)))</formula>
    </cfRule>
    <cfRule type="containsText" dxfId="40" priority="9" operator="containsText" text="ADMIS">
      <formula>NOT(ISERROR(SEARCH("ADMIS",I12)))</formula>
    </cfRule>
  </conditionalFormatting>
  <conditionalFormatting sqref="I29:I32">
    <cfRule type="containsText" dxfId="39" priority="6" operator="containsText" text="AJOURNE">
      <formula>NOT(ISERROR(SEARCH("AJOURNE",I29)))</formula>
    </cfRule>
    <cfRule type="containsText" dxfId="38" priority="5" operator="containsText" text="ADMIS">
      <formula>NOT(ISERROR(SEARCH("ADMIS",I29)))</formula>
    </cfRule>
  </conditionalFormatting>
  <conditionalFormatting sqref="I35:I36">
    <cfRule type="containsText" dxfId="37" priority="4" operator="containsText" text="AJOURNE">
      <formula>NOT(ISERROR(SEARCH("AJOURNE",I35)))</formula>
    </cfRule>
    <cfRule type="containsText" dxfId="36" priority="3" operator="containsText" text="ADMIS">
      <formula>NOT(ISERROR(SEARCH("ADMIS",I35)))</formula>
    </cfRule>
  </conditionalFormatting>
  <conditionalFormatting sqref="I39:I40">
    <cfRule type="containsText" dxfId="35" priority="1" operator="containsText" text="ADMIS">
      <formula>NOT(ISERROR(SEARCH("ADMIS",I39)))</formula>
    </cfRule>
    <cfRule type="containsText" dxfId="34" priority="2" operator="containsText" text="AJOURNE">
      <formula>NOT(ISERROR(SEARCH("AJOURNE",I39)))</formula>
    </cfRule>
  </conditionalFormatting>
  <conditionalFormatting sqref="I42">
    <cfRule type="containsText" dxfId="33" priority="8" operator="containsText" text="AJOURNE">
      <formula>NOT(ISERROR(SEARCH("AJOURNE",I42)))</formula>
    </cfRule>
    <cfRule type="containsText" dxfId="32" priority="7" operator="containsText" text="ADMIS">
      <formula>NOT(ISERROR(SEARCH("ADMIS",I42)))</formula>
    </cfRule>
  </conditionalFormatting>
  <dataValidations count="1">
    <dataValidation type="list" allowBlank="1" showInputMessage="1" showErrorMessage="1" sqref="I42 I12:I15 I18:I21 I35:I36 I29:I32 I39:I40 I24:I26" xr:uid="{9888025E-CC25-1C44-B8EB-D95EEC0181A0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0611-364A-0141-937A-B748C7D8B08F}">
  <dimension ref="A1:N55"/>
  <sheetViews>
    <sheetView zoomScale="156" zoomScaleNormal="100" workbookViewId="0">
      <selection activeCell="A8" sqref="A8"/>
    </sheetView>
  </sheetViews>
  <sheetFormatPr baseColWidth="10" defaultColWidth="11.5" defaultRowHeight="15" x14ac:dyDescent="0.2"/>
  <cols>
    <col min="1" max="1" width="37.33203125" style="2" customWidth="1"/>
    <col min="2" max="4" width="6.6640625" style="2" customWidth="1"/>
    <col min="5" max="5" width="10" style="1" bestFit="1" customWidth="1"/>
    <col min="6" max="6" width="11.1640625" style="1" bestFit="1" customWidth="1"/>
    <col min="7" max="7" width="10.5" style="1" bestFit="1" customWidth="1"/>
    <col min="8" max="8" width="13" style="1" customWidth="1"/>
    <col min="9" max="9" width="14" style="1" customWidth="1"/>
    <col min="10" max="12" width="11.5" style="1"/>
    <col min="13" max="14" width="18.6640625" style="1" customWidth="1"/>
    <col min="15" max="16384" width="11.5" style="1"/>
  </cols>
  <sheetData>
    <row r="1" spans="1:14" ht="47.25" customHeight="1" x14ac:dyDescent="0.2">
      <c r="A1" s="41" t="s">
        <v>94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4"/>
    </row>
    <row r="3" spans="1:14" s="7" customFormat="1" x14ac:dyDescent="0.2">
      <c r="A3" s="5"/>
      <c r="B3" s="6"/>
      <c r="C3" s="6"/>
      <c r="D3" s="6"/>
      <c r="E3" s="6"/>
      <c r="F3" s="6"/>
      <c r="G3" s="6"/>
      <c r="H3" s="6"/>
      <c r="I3" s="6"/>
      <c r="K3" s="8"/>
      <c r="M3" s="8"/>
      <c r="N3" s="8"/>
    </row>
    <row r="4" spans="1:14" s="7" customFormat="1" ht="20" x14ac:dyDescent="0.2">
      <c r="A4" s="86" t="s">
        <v>2</v>
      </c>
      <c r="B4" s="86"/>
      <c r="C4" s="86"/>
      <c r="D4" s="86"/>
      <c r="E4" s="86"/>
      <c r="F4" s="86"/>
      <c r="G4" s="86"/>
      <c r="H4" s="86"/>
      <c r="I4" s="86"/>
      <c r="K4" s="8"/>
      <c r="M4" s="8"/>
      <c r="N4" s="8"/>
    </row>
    <row r="5" spans="1:14" s="7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4</v>
      </c>
      <c r="K5" s="8"/>
      <c r="M5" s="8"/>
      <c r="N5" s="8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8"/>
      <c r="N6" s="8"/>
    </row>
    <row r="7" spans="1:14" ht="16" x14ac:dyDescent="0.2">
      <c r="A7" s="43" t="s">
        <v>159</v>
      </c>
      <c r="B7" s="43"/>
      <c r="C7" s="43"/>
      <c r="D7" s="43"/>
      <c r="E7" s="43"/>
      <c r="F7" s="43"/>
      <c r="G7" s="44" t="s">
        <v>9</v>
      </c>
      <c r="H7" s="44"/>
      <c r="I7" s="21" t="s">
        <v>75</v>
      </c>
      <c r="M7" s="8"/>
      <c r="N7" s="8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8"/>
      <c r="N8" s="8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8"/>
      <c r="N9" s="8"/>
    </row>
    <row r="10" spans="1:14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ht="20.25" customHeight="1" x14ac:dyDescent="0.2">
      <c r="A11" s="87" t="s">
        <v>97</v>
      </c>
      <c r="B11" s="87"/>
      <c r="C11" s="87"/>
      <c r="D11" s="87"/>
      <c r="E11" s="87"/>
      <c r="F11" s="87"/>
      <c r="G11" s="87"/>
      <c r="H11" s="87"/>
      <c r="I11" s="87"/>
    </row>
    <row r="12" spans="1:14" ht="20.25" customHeight="1" x14ac:dyDescent="0.2">
      <c r="A12" s="26" t="s">
        <v>98</v>
      </c>
      <c r="B12" s="24">
        <v>14</v>
      </c>
      <c r="C12" s="24">
        <v>13</v>
      </c>
      <c r="D12" s="24">
        <v>12.5</v>
      </c>
      <c r="E12" s="24">
        <v>12</v>
      </c>
      <c r="F12" s="24">
        <v>1</v>
      </c>
      <c r="G12" s="24">
        <v>1</v>
      </c>
      <c r="H12" s="25">
        <f>AVERAGE(B12:E12)</f>
        <v>12.875</v>
      </c>
      <c r="I12" s="24" t="s">
        <v>1</v>
      </c>
    </row>
    <row r="13" spans="1:14" ht="20.25" customHeight="1" x14ac:dyDescent="0.2">
      <c r="A13" s="27" t="s">
        <v>99</v>
      </c>
      <c r="B13" s="24">
        <v>14</v>
      </c>
      <c r="C13" s="24">
        <v>16.5</v>
      </c>
      <c r="D13" s="24">
        <v>17</v>
      </c>
      <c r="E13" s="24">
        <v>16.5</v>
      </c>
      <c r="F13" s="24">
        <v>1</v>
      </c>
      <c r="G13" s="24">
        <v>1</v>
      </c>
      <c r="H13" s="25">
        <f t="shared" ref="H13:H20" si="0">AVERAGE(B13:E13)</f>
        <v>16</v>
      </c>
      <c r="I13" s="24" t="s">
        <v>1</v>
      </c>
    </row>
    <row r="14" spans="1:14" ht="20.25" customHeight="1" x14ac:dyDescent="0.2">
      <c r="A14" s="27" t="s">
        <v>100</v>
      </c>
      <c r="B14" s="24">
        <v>15</v>
      </c>
      <c r="C14" s="24">
        <v>14</v>
      </c>
      <c r="D14" s="24">
        <v>16.5</v>
      </c>
      <c r="E14" s="24">
        <v>15</v>
      </c>
      <c r="F14" s="24">
        <v>1</v>
      </c>
      <c r="G14" s="24">
        <v>1</v>
      </c>
      <c r="H14" s="25">
        <f t="shared" si="0"/>
        <v>15.125</v>
      </c>
      <c r="I14" s="24" t="s">
        <v>1</v>
      </c>
    </row>
    <row r="15" spans="1:14" ht="20.25" customHeight="1" x14ac:dyDescent="0.2">
      <c r="A15" s="27" t="s">
        <v>45</v>
      </c>
      <c r="B15" s="24">
        <v>11</v>
      </c>
      <c r="C15" s="24">
        <v>13.5</v>
      </c>
      <c r="D15" s="24">
        <v>17</v>
      </c>
      <c r="E15" s="24">
        <v>18</v>
      </c>
      <c r="F15" s="24">
        <v>2</v>
      </c>
      <c r="G15" s="24">
        <v>2</v>
      </c>
      <c r="H15" s="25">
        <f t="shared" si="0"/>
        <v>14.875</v>
      </c>
      <c r="I15" s="24" t="s">
        <v>1</v>
      </c>
    </row>
    <row r="16" spans="1:14" x14ac:dyDescent="0.2">
      <c r="A16" s="103"/>
      <c r="B16" s="103"/>
      <c r="C16" s="103"/>
      <c r="D16" s="103"/>
      <c r="E16" s="103"/>
      <c r="F16" s="103"/>
      <c r="G16" s="103"/>
      <c r="H16" s="103"/>
      <c r="I16" s="103"/>
    </row>
    <row r="17" spans="1:9" ht="20.25" customHeight="1" x14ac:dyDescent="0.2">
      <c r="A17" s="92" t="s">
        <v>101</v>
      </c>
      <c r="B17" s="92"/>
      <c r="C17" s="92"/>
      <c r="D17" s="92"/>
      <c r="E17" s="92"/>
      <c r="F17" s="92"/>
      <c r="G17" s="92"/>
      <c r="H17" s="92"/>
      <c r="I17" s="92"/>
    </row>
    <row r="18" spans="1:9" ht="16" customHeight="1" x14ac:dyDescent="0.2">
      <c r="A18" s="30" t="s">
        <v>102</v>
      </c>
      <c r="B18" s="24">
        <v>15</v>
      </c>
      <c r="C18" s="24">
        <v>16</v>
      </c>
      <c r="D18" s="24">
        <v>12</v>
      </c>
      <c r="E18" s="24">
        <v>18</v>
      </c>
      <c r="F18" s="24">
        <v>2</v>
      </c>
      <c r="G18" s="24">
        <v>2</v>
      </c>
      <c r="H18" s="25">
        <f t="shared" si="0"/>
        <v>15.25</v>
      </c>
      <c r="I18" s="24" t="s">
        <v>1</v>
      </c>
    </row>
    <row r="19" spans="1:9" ht="16" customHeight="1" x14ac:dyDescent="0.2">
      <c r="A19" s="26" t="s">
        <v>103</v>
      </c>
      <c r="B19" s="24">
        <v>11</v>
      </c>
      <c r="C19" s="24">
        <v>15</v>
      </c>
      <c r="D19" s="24">
        <v>15.5</v>
      </c>
      <c r="E19" s="24">
        <v>14</v>
      </c>
      <c r="F19" s="24">
        <v>1</v>
      </c>
      <c r="G19" s="24">
        <v>1</v>
      </c>
      <c r="H19" s="25">
        <f t="shared" si="0"/>
        <v>13.875</v>
      </c>
      <c r="I19" s="24" t="s">
        <v>1</v>
      </c>
    </row>
    <row r="20" spans="1:9" ht="15" customHeight="1" x14ac:dyDescent="0.2">
      <c r="A20" s="27" t="s">
        <v>104</v>
      </c>
      <c r="B20" s="24">
        <v>16</v>
      </c>
      <c r="C20" s="24">
        <v>17</v>
      </c>
      <c r="D20" s="24">
        <v>17</v>
      </c>
      <c r="E20" s="24">
        <v>16.5</v>
      </c>
      <c r="F20" s="24">
        <v>1</v>
      </c>
      <c r="G20" s="24">
        <v>1</v>
      </c>
      <c r="H20" s="25">
        <f t="shared" si="0"/>
        <v>16.625</v>
      </c>
      <c r="I20" s="24" t="s">
        <v>1</v>
      </c>
    </row>
    <row r="21" spans="1:9" ht="15" customHeight="1" x14ac:dyDescent="0.2">
      <c r="A21" s="13"/>
      <c r="B21" s="10"/>
      <c r="C21" s="10"/>
      <c r="D21" s="10"/>
      <c r="E21" s="10"/>
      <c r="F21" s="10"/>
      <c r="G21" s="10"/>
      <c r="H21" s="11"/>
      <c r="I21" s="10"/>
    </row>
    <row r="22" spans="1:9" ht="20" customHeight="1" x14ac:dyDescent="0.2">
      <c r="A22" s="87" t="s">
        <v>105</v>
      </c>
      <c r="B22" s="87"/>
      <c r="C22" s="87"/>
      <c r="D22" s="87"/>
      <c r="E22" s="87"/>
      <c r="F22" s="87"/>
      <c r="G22" s="87"/>
      <c r="H22" s="87"/>
      <c r="I22" s="87"/>
    </row>
    <row r="23" spans="1:9" x14ac:dyDescent="0.2">
      <c r="A23" s="30" t="s">
        <v>106</v>
      </c>
      <c r="B23" s="24">
        <v>14</v>
      </c>
      <c r="C23" s="24">
        <v>11</v>
      </c>
      <c r="D23" s="24">
        <v>13.5</v>
      </c>
      <c r="E23" s="24">
        <v>15</v>
      </c>
      <c r="F23" s="24">
        <v>2</v>
      </c>
      <c r="G23" s="24">
        <v>2</v>
      </c>
      <c r="H23" s="25">
        <f>AVERAGE(B23:E23)</f>
        <v>13.375</v>
      </c>
      <c r="I23" s="24" t="s">
        <v>1</v>
      </c>
    </row>
    <row r="24" spans="1:9" ht="15" customHeight="1" x14ac:dyDescent="0.2">
      <c r="A24" s="14"/>
      <c r="B24" s="10"/>
      <c r="C24" s="10"/>
      <c r="D24" s="10"/>
      <c r="E24" s="10"/>
      <c r="F24" s="10"/>
      <c r="G24" s="10"/>
      <c r="H24" s="11"/>
      <c r="I24" s="10"/>
    </row>
    <row r="25" spans="1:9" s="10" customFormat="1" ht="20" customHeight="1" x14ac:dyDescent="0.2">
      <c r="A25" s="87" t="s">
        <v>72</v>
      </c>
      <c r="B25" s="87"/>
      <c r="C25" s="87"/>
      <c r="D25" s="87"/>
      <c r="E25" s="87"/>
      <c r="F25" s="87"/>
      <c r="G25" s="87"/>
      <c r="H25" s="87"/>
      <c r="I25" s="87"/>
    </row>
    <row r="26" spans="1:9" s="10" customFormat="1" ht="14" x14ac:dyDescent="0.2">
      <c r="A26" s="30" t="s">
        <v>89</v>
      </c>
      <c r="B26" s="24">
        <v>15</v>
      </c>
      <c r="C26" s="24">
        <v>12.5</v>
      </c>
      <c r="D26" s="24">
        <v>14</v>
      </c>
      <c r="E26" s="24">
        <v>15.5</v>
      </c>
      <c r="F26" s="24">
        <v>2</v>
      </c>
      <c r="G26" s="24">
        <v>2</v>
      </c>
      <c r="H26" s="25">
        <f t="shared" ref="H26:H27" si="1">AVERAGE(B26:E26)</f>
        <v>14.25</v>
      </c>
      <c r="I26" s="24" t="s">
        <v>1</v>
      </c>
    </row>
    <row r="27" spans="1:9" s="10" customFormat="1" ht="15" customHeight="1" x14ac:dyDescent="0.2">
      <c r="A27" s="26" t="s">
        <v>90</v>
      </c>
      <c r="B27" s="24">
        <v>17</v>
      </c>
      <c r="C27" s="24">
        <v>16</v>
      </c>
      <c r="D27" s="24">
        <v>13.5</v>
      </c>
      <c r="E27" s="24">
        <v>15.5</v>
      </c>
      <c r="F27" s="24">
        <v>2</v>
      </c>
      <c r="G27" s="24">
        <v>2</v>
      </c>
      <c r="H27" s="25">
        <f t="shared" si="1"/>
        <v>15.5</v>
      </c>
      <c r="I27" s="24" t="s">
        <v>1</v>
      </c>
    </row>
    <row r="28" spans="1:9" s="10" customFormat="1" ht="15" customHeight="1" x14ac:dyDescent="0.2">
      <c r="A28" s="30" t="s">
        <v>124</v>
      </c>
      <c r="B28" s="24">
        <v>13</v>
      </c>
      <c r="C28" s="24">
        <v>15</v>
      </c>
      <c r="D28" s="24">
        <v>12</v>
      </c>
      <c r="E28" s="24">
        <v>16</v>
      </c>
      <c r="F28" s="24">
        <v>1</v>
      </c>
      <c r="G28" s="24">
        <v>1</v>
      </c>
      <c r="H28" s="25">
        <f>AVERAGE(B28:F28)</f>
        <v>11.4</v>
      </c>
      <c r="I28" s="24" t="s">
        <v>1</v>
      </c>
    </row>
    <row r="29" spans="1:9" s="10" customFormat="1" ht="15" customHeight="1" x14ac:dyDescent="0.2">
      <c r="A29" s="30" t="s">
        <v>91</v>
      </c>
      <c r="B29" s="24">
        <v>12</v>
      </c>
      <c r="C29" s="24">
        <v>12.5</v>
      </c>
      <c r="D29" s="24">
        <v>12</v>
      </c>
      <c r="E29" s="24">
        <v>14.5</v>
      </c>
      <c r="F29" s="24">
        <v>2</v>
      </c>
      <c r="G29" s="24">
        <v>2</v>
      </c>
      <c r="H29" s="25">
        <f>AVERAGE(B29:F29)</f>
        <v>10.6</v>
      </c>
      <c r="I29" s="24" t="s">
        <v>1</v>
      </c>
    </row>
    <row r="30" spans="1:9" ht="15" customHeight="1" x14ac:dyDescent="0.2">
      <c r="A30" s="13"/>
      <c r="B30" s="10"/>
      <c r="C30" s="10"/>
      <c r="D30" s="10"/>
      <c r="E30" s="10"/>
      <c r="F30" s="10"/>
      <c r="G30" s="10"/>
      <c r="H30" s="11"/>
      <c r="I30" s="10"/>
    </row>
    <row r="31" spans="1:9" ht="20" customHeight="1" x14ac:dyDescent="0.2">
      <c r="A31" s="87" t="s">
        <v>73</v>
      </c>
      <c r="B31" s="87"/>
      <c r="C31" s="87"/>
      <c r="D31" s="87"/>
      <c r="E31" s="87"/>
      <c r="F31" s="87"/>
      <c r="G31" s="87"/>
      <c r="H31" s="87"/>
      <c r="I31" s="87"/>
    </row>
    <row r="32" spans="1:9" ht="16" customHeight="1" x14ac:dyDescent="0.2">
      <c r="A32" s="27" t="s">
        <v>56</v>
      </c>
      <c r="B32" s="24">
        <v>13</v>
      </c>
      <c r="C32" s="24">
        <v>16</v>
      </c>
      <c r="D32" s="24">
        <v>13</v>
      </c>
      <c r="E32" s="24">
        <v>14</v>
      </c>
      <c r="F32" s="24">
        <v>3</v>
      </c>
      <c r="G32" s="24">
        <v>3</v>
      </c>
      <c r="H32" s="25">
        <f t="shared" ref="H32:H33" si="2">AVERAGE(B32:E32)</f>
        <v>14</v>
      </c>
      <c r="I32" s="24" t="s">
        <v>1</v>
      </c>
    </row>
    <row r="33" spans="1:11" ht="15" customHeight="1" x14ac:dyDescent="0.2">
      <c r="A33" s="27" t="s">
        <v>92</v>
      </c>
      <c r="B33" s="24">
        <v>17</v>
      </c>
      <c r="C33" s="24">
        <v>16.5</v>
      </c>
      <c r="D33" s="24">
        <v>18</v>
      </c>
      <c r="E33" s="24">
        <v>18</v>
      </c>
      <c r="F33" s="24">
        <v>1</v>
      </c>
      <c r="G33" s="24">
        <v>1</v>
      </c>
      <c r="H33" s="25">
        <f t="shared" si="2"/>
        <v>17.375</v>
      </c>
      <c r="I33" s="24" t="s">
        <v>1</v>
      </c>
    </row>
    <row r="34" spans="1:11" ht="15" customHeight="1" x14ac:dyDescent="0.2">
      <c r="A34" s="13"/>
      <c r="B34" s="10"/>
      <c r="C34" s="10"/>
      <c r="D34" s="10"/>
      <c r="E34" s="10"/>
      <c r="F34" s="10"/>
      <c r="G34" s="10"/>
      <c r="H34" s="11"/>
      <c r="I34" s="10"/>
    </row>
    <row r="35" spans="1:11" ht="20" customHeight="1" x14ac:dyDescent="0.2">
      <c r="A35" s="87" t="s">
        <v>111</v>
      </c>
      <c r="B35" s="87"/>
      <c r="C35" s="87"/>
      <c r="D35" s="87"/>
      <c r="E35" s="87"/>
      <c r="F35" s="87"/>
      <c r="G35" s="87"/>
      <c r="H35" s="87"/>
      <c r="I35" s="87"/>
    </row>
    <row r="36" spans="1:11" ht="16" customHeight="1" x14ac:dyDescent="0.2">
      <c r="A36" s="27" t="s">
        <v>128</v>
      </c>
      <c r="B36" s="24">
        <v>16</v>
      </c>
      <c r="C36" s="24">
        <v>15</v>
      </c>
      <c r="D36" s="24">
        <v>16.5</v>
      </c>
      <c r="E36" s="24">
        <v>17</v>
      </c>
      <c r="F36" s="24">
        <v>2</v>
      </c>
      <c r="G36" s="24">
        <v>2</v>
      </c>
      <c r="H36" s="25">
        <f t="shared" ref="H36:H37" si="3">AVERAGE(B36:E36)</f>
        <v>16.125</v>
      </c>
      <c r="I36" s="24" t="s">
        <v>1</v>
      </c>
    </row>
    <row r="37" spans="1:11" ht="15" customHeight="1" x14ac:dyDescent="0.2">
      <c r="A37" s="27" t="s">
        <v>93</v>
      </c>
      <c r="B37" s="24">
        <v>13</v>
      </c>
      <c r="C37" s="24">
        <v>11</v>
      </c>
      <c r="D37" s="24">
        <v>15</v>
      </c>
      <c r="E37" s="24">
        <v>18</v>
      </c>
      <c r="F37" s="24">
        <v>2</v>
      </c>
      <c r="G37" s="24">
        <v>2</v>
      </c>
      <c r="H37" s="25">
        <f t="shared" si="3"/>
        <v>14.25</v>
      </c>
      <c r="I37" s="24" t="s">
        <v>1</v>
      </c>
    </row>
    <row r="38" spans="1:11" ht="15" customHeight="1" x14ac:dyDescent="0.2">
      <c r="A38" s="13"/>
      <c r="B38" s="10"/>
      <c r="C38" s="10"/>
      <c r="D38" s="10"/>
      <c r="E38" s="10"/>
      <c r="F38" s="10"/>
      <c r="G38" s="10"/>
      <c r="H38" s="11"/>
      <c r="I38" s="10"/>
    </row>
    <row r="39" spans="1:11" ht="20" customHeight="1" x14ac:dyDescent="0.2">
      <c r="A39" s="87" t="s">
        <v>107</v>
      </c>
      <c r="B39" s="87"/>
      <c r="C39" s="87"/>
      <c r="D39" s="87"/>
      <c r="E39" s="87"/>
      <c r="F39" s="87"/>
      <c r="G39" s="87"/>
      <c r="H39" s="87"/>
      <c r="I39" s="87"/>
    </row>
    <row r="40" spans="1:11" ht="16" customHeight="1" x14ac:dyDescent="0.2">
      <c r="A40" s="27" t="s">
        <v>109</v>
      </c>
      <c r="B40" s="24">
        <v>14</v>
      </c>
      <c r="C40" s="24">
        <v>14</v>
      </c>
      <c r="D40" s="24">
        <v>15.5</v>
      </c>
      <c r="E40" s="24">
        <v>16</v>
      </c>
      <c r="F40" s="24">
        <v>2</v>
      </c>
      <c r="G40" s="24">
        <v>2</v>
      </c>
      <c r="H40" s="25">
        <f t="shared" ref="H40:H41" si="4">AVERAGE(B40:E40)</f>
        <v>14.875</v>
      </c>
      <c r="I40" s="24" t="s">
        <v>1</v>
      </c>
    </row>
    <row r="41" spans="1:11" ht="15" customHeight="1" x14ac:dyDescent="0.2">
      <c r="A41" s="27" t="s">
        <v>110</v>
      </c>
      <c r="B41" s="24">
        <v>13</v>
      </c>
      <c r="C41" s="24">
        <v>16</v>
      </c>
      <c r="D41" s="24">
        <v>16.5</v>
      </c>
      <c r="E41" s="24">
        <v>15</v>
      </c>
      <c r="F41" s="24">
        <v>2</v>
      </c>
      <c r="G41" s="24">
        <v>2</v>
      </c>
      <c r="H41" s="25">
        <f t="shared" si="4"/>
        <v>15.125</v>
      </c>
      <c r="I41" s="24" t="s">
        <v>1</v>
      </c>
    </row>
    <row r="42" spans="1:11" x14ac:dyDescent="0.2">
      <c r="A42" s="16"/>
      <c r="B42" s="10"/>
      <c r="C42" s="10"/>
      <c r="D42" s="10"/>
      <c r="E42" s="16"/>
      <c r="F42" s="16"/>
      <c r="G42" s="16"/>
      <c r="H42" s="16"/>
      <c r="I42" s="16"/>
    </row>
    <row r="43" spans="1:11" s="39" customFormat="1" ht="20" customHeight="1" x14ac:dyDescent="0.2">
      <c r="A43" s="36" t="s">
        <v>33</v>
      </c>
      <c r="B43" s="68">
        <f>AVERAGE(H12:H41)</f>
        <v>14.527777777777779</v>
      </c>
      <c r="C43" s="68"/>
      <c r="D43" s="68"/>
      <c r="E43" s="68"/>
      <c r="F43" s="51" t="s">
        <v>34</v>
      </c>
      <c r="G43" s="51"/>
      <c r="H43" s="51"/>
      <c r="I43" s="37" t="s">
        <v>1</v>
      </c>
      <c r="J43" s="38"/>
      <c r="K43" s="38"/>
    </row>
    <row r="44" spans="1:11" s="16" customFormat="1" ht="6" customHeight="1" x14ac:dyDescent="0.2">
      <c r="A44" s="96"/>
      <c r="B44" s="96"/>
      <c r="C44" s="96"/>
      <c r="D44" s="96"/>
      <c r="E44" s="96"/>
      <c r="F44" s="96"/>
      <c r="G44" s="96"/>
      <c r="H44" s="96"/>
      <c r="I44" s="96"/>
      <c r="J44" s="1"/>
      <c r="K44" s="1"/>
    </row>
    <row r="45" spans="1:11" s="39" customFormat="1" ht="20" customHeight="1" x14ac:dyDescent="0.2">
      <c r="A45" s="40" t="s">
        <v>35</v>
      </c>
      <c r="B45" s="68">
        <f>SUM(G12:G41)</f>
        <v>30</v>
      </c>
      <c r="C45" s="68"/>
      <c r="D45" s="68"/>
      <c r="E45" s="68"/>
      <c r="F45" s="69" t="s">
        <v>42</v>
      </c>
      <c r="G45" s="69"/>
      <c r="H45" s="69"/>
      <c r="I45" s="34" t="s">
        <v>95</v>
      </c>
      <c r="J45" s="38"/>
      <c r="K45" s="38"/>
    </row>
    <row r="46" spans="1:11" s="16" customFormat="1" ht="8" customHeight="1" x14ac:dyDescent="0.2">
      <c r="A46" s="96"/>
      <c r="B46" s="96"/>
      <c r="C46" s="96"/>
      <c r="D46" s="96"/>
      <c r="E46" s="96"/>
      <c r="F46" s="96"/>
      <c r="G46" s="96"/>
      <c r="H46" s="96"/>
      <c r="I46" s="96"/>
      <c r="J46" s="1"/>
      <c r="K46" s="1"/>
    </row>
    <row r="47" spans="1:11" s="39" customFormat="1" ht="22.5" customHeight="1" x14ac:dyDescent="0.2">
      <c r="A47" s="35" t="s">
        <v>36</v>
      </c>
      <c r="B47" s="51" t="s">
        <v>39</v>
      </c>
      <c r="C47" s="51"/>
      <c r="D47" s="51"/>
      <c r="E47" s="51"/>
      <c r="F47" s="95" t="s">
        <v>137</v>
      </c>
      <c r="G47" s="95"/>
      <c r="H47" s="95"/>
      <c r="I47" s="95"/>
      <c r="J47" s="38"/>
      <c r="K47" s="38"/>
    </row>
    <row r="48" spans="1:11" s="16" customFormat="1" ht="10" customHeight="1" x14ac:dyDescent="0.2">
      <c r="A48" s="96"/>
      <c r="B48" s="96"/>
      <c r="C48" s="96"/>
      <c r="D48" s="96"/>
      <c r="E48" s="96"/>
      <c r="F48" s="96"/>
      <c r="G48" s="96"/>
      <c r="H48" s="96"/>
      <c r="I48" s="96"/>
      <c r="J48" s="1"/>
      <c r="K48" s="1"/>
    </row>
    <row r="49" spans="1:11" s="16" customFormat="1" ht="22.5" customHeight="1" x14ac:dyDescent="0.2">
      <c r="A49" s="49" t="s">
        <v>37</v>
      </c>
      <c r="B49" s="49"/>
      <c r="C49" s="49"/>
      <c r="D49" s="49"/>
      <c r="E49" s="49"/>
      <c r="F49" s="50" t="s">
        <v>38</v>
      </c>
      <c r="G49" s="50"/>
      <c r="H49" s="50"/>
      <c r="I49" s="50"/>
      <c r="J49" s="1"/>
      <c r="K49" s="1"/>
    </row>
    <row r="50" spans="1:11" s="16" customFormat="1" ht="22.5" customHeight="1" x14ac:dyDescent="0.2">
      <c r="A50" s="99" t="s">
        <v>40</v>
      </c>
      <c r="B50" s="99"/>
      <c r="C50" s="99"/>
      <c r="D50" s="99"/>
      <c r="E50" s="99"/>
      <c r="F50" s="100" t="s">
        <v>44</v>
      </c>
      <c r="G50" s="100"/>
      <c r="H50" s="100"/>
      <c r="I50" s="100"/>
      <c r="J50" s="1"/>
      <c r="K50" s="1"/>
    </row>
    <row r="51" spans="1:11" s="16" customFormat="1" ht="22.5" customHeight="1" x14ac:dyDescent="0.2">
      <c r="A51" s="99"/>
      <c r="B51" s="99"/>
      <c r="C51" s="99"/>
      <c r="D51" s="99"/>
      <c r="E51" s="99"/>
      <c r="F51" s="100"/>
      <c r="G51" s="100"/>
      <c r="H51" s="100"/>
      <c r="I51" s="100"/>
      <c r="J51" s="1"/>
      <c r="K51" s="1"/>
    </row>
    <row r="52" spans="1:11" s="16" customFormat="1" ht="22.5" customHeight="1" x14ac:dyDescent="0.2">
      <c r="A52" s="99"/>
      <c r="B52" s="99"/>
      <c r="C52" s="99"/>
      <c r="D52" s="99"/>
      <c r="E52" s="99"/>
      <c r="F52" s="100"/>
      <c r="G52" s="100"/>
      <c r="H52" s="100"/>
      <c r="I52" s="100"/>
      <c r="J52" s="1"/>
      <c r="K52" s="1"/>
    </row>
    <row r="53" spans="1:11" s="16" customFormat="1" ht="18" customHeight="1" x14ac:dyDescent="0.2">
      <c r="A53" s="99"/>
      <c r="B53" s="99"/>
      <c r="C53" s="99"/>
      <c r="D53" s="99"/>
      <c r="E53" s="99"/>
      <c r="F53" s="100"/>
      <c r="G53" s="100"/>
      <c r="H53" s="100"/>
      <c r="I53" s="100"/>
      <c r="J53" s="1"/>
      <c r="K53" s="1"/>
    </row>
    <row r="54" spans="1:11" s="16" customFormat="1" ht="38" customHeight="1" x14ac:dyDescent="0.2">
      <c r="A54" s="99"/>
      <c r="B54" s="99"/>
      <c r="C54" s="99"/>
      <c r="D54" s="99"/>
      <c r="E54" s="99"/>
      <c r="F54" s="100"/>
      <c r="G54" s="100"/>
      <c r="H54" s="100"/>
      <c r="I54" s="100"/>
      <c r="J54" s="1"/>
      <c r="K54" s="1"/>
    </row>
    <row r="55" spans="1:11" s="16" customFormat="1" x14ac:dyDescent="0.2">
      <c r="A55" s="2"/>
      <c r="B55" s="2"/>
      <c r="C55" s="2"/>
      <c r="D55" s="2"/>
      <c r="E55" s="1"/>
      <c r="F55" s="1"/>
      <c r="G55" s="1"/>
      <c r="H55" s="1"/>
      <c r="I55" s="1"/>
      <c r="J55" s="1"/>
      <c r="K55" s="1"/>
    </row>
  </sheetData>
  <mergeCells count="38">
    <mergeCell ref="A48:I48"/>
    <mergeCell ref="A49:E49"/>
    <mergeCell ref="F49:I49"/>
    <mergeCell ref="A50:E54"/>
    <mergeCell ref="F50:I54"/>
    <mergeCell ref="B47:E47"/>
    <mergeCell ref="F47:I47"/>
    <mergeCell ref="A11:I11"/>
    <mergeCell ref="A16:I16"/>
    <mergeCell ref="A17:I17"/>
    <mergeCell ref="A22:I22"/>
    <mergeCell ref="A25:I25"/>
    <mergeCell ref="A31:I31"/>
    <mergeCell ref="A35:I35"/>
    <mergeCell ref="F43:H43"/>
    <mergeCell ref="F45:H45"/>
    <mergeCell ref="A39:I39"/>
    <mergeCell ref="B43:E43"/>
    <mergeCell ref="A44:I44"/>
    <mergeCell ref="B45:E45"/>
    <mergeCell ref="A46:I46"/>
    <mergeCell ref="I9:I10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1:I1"/>
    <mergeCell ref="A4:I4"/>
    <mergeCell ref="A5:F5"/>
    <mergeCell ref="G5:H5"/>
    <mergeCell ref="A6:F6"/>
    <mergeCell ref="G6:H6"/>
  </mergeCells>
  <conditionalFormatting sqref="I12:I15 I18:I21 I23:I24">
    <cfRule type="containsText" dxfId="31" priority="12" operator="containsText" text="AJOURNE">
      <formula>NOT(ISERROR(SEARCH("AJOURNE",I12)))</formula>
    </cfRule>
    <cfRule type="containsText" dxfId="30" priority="11" operator="containsText" text="ADMIS">
      <formula>NOT(ISERROR(SEARCH("ADMIS",I12)))</formula>
    </cfRule>
  </conditionalFormatting>
  <conditionalFormatting sqref="I26:I30">
    <cfRule type="containsText" dxfId="29" priority="7" operator="containsText" text="ADMIS">
      <formula>NOT(ISERROR(SEARCH("ADMIS",I26)))</formula>
    </cfRule>
    <cfRule type="containsText" dxfId="28" priority="8" operator="containsText" text="AJOURNE">
      <formula>NOT(ISERROR(SEARCH("AJOURNE",I26)))</formula>
    </cfRule>
  </conditionalFormatting>
  <conditionalFormatting sqref="I32:I34">
    <cfRule type="containsText" dxfId="27" priority="5" operator="containsText" text="ADMIS">
      <formula>NOT(ISERROR(SEARCH("ADMIS",I32)))</formula>
    </cfRule>
    <cfRule type="containsText" dxfId="26" priority="6" operator="containsText" text="AJOURNE">
      <formula>NOT(ISERROR(SEARCH("AJOURNE",I32)))</formula>
    </cfRule>
  </conditionalFormatting>
  <conditionalFormatting sqref="I36:I38">
    <cfRule type="containsText" dxfId="25" priority="3" operator="containsText" text="ADMIS">
      <formula>NOT(ISERROR(SEARCH("ADMIS",I36)))</formula>
    </cfRule>
    <cfRule type="containsText" dxfId="24" priority="4" operator="containsText" text="AJOURNE">
      <formula>NOT(ISERROR(SEARCH("AJOURNE",I36)))</formula>
    </cfRule>
  </conditionalFormatting>
  <conditionalFormatting sqref="I40:I41">
    <cfRule type="containsText" dxfId="23" priority="2" operator="containsText" text="AJOURNE">
      <formula>NOT(ISERROR(SEARCH("AJOURNE",I40)))</formula>
    </cfRule>
    <cfRule type="containsText" dxfId="22" priority="1" operator="containsText" text="ADMIS">
      <formula>NOT(ISERROR(SEARCH("ADMIS",I40)))</formula>
    </cfRule>
  </conditionalFormatting>
  <conditionalFormatting sqref="I43">
    <cfRule type="containsText" dxfId="21" priority="9" operator="containsText" text="ADMIS">
      <formula>NOT(ISERROR(SEARCH("ADMIS",I43)))</formula>
    </cfRule>
    <cfRule type="containsText" dxfId="20" priority="10" operator="containsText" text="AJOURNE">
      <formula>NOT(ISERROR(SEARCH("AJOURNE",I43)))</formula>
    </cfRule>
  </conditionalFormatting>
  <dataValidations count="1">
    <dataValidation type="list" allowBlank="1" showInputMessage="1" showErrorMessage="1" sqref="I43 I12:I15 I18:I21 I23:I24 I26:I30 I32:I34 I36:I38 I40:I41" xr:uid="{A6C588C0-3DD7-C344-A560-77B94C209571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0730-0F51-624C-8756-FA2EAD4D1A97}">
  <dimension ref="A1:N54"/>
  <sheetViews>
    <sheetView topLeftCell="A32" zoomScale="156" zoomScaleNormal="100" workbookViewId="0">
      <selection activeCell="A8" sqref="A8"/>
    </sheetView>
  </sheetViews>
  <sheetFormatPr baseColWidth="10" defaultColWidth="11.5" defaultRowHeight="15" x14ac:dyDescent="0.2"/>
  <cols>
    <col min="1" max="1" width="40.33203125" style="2" customWidth="1"/>
    <col min="2" max="4" width="6.6640625" style="2" customWidth="1"/>
    <col min="5" max="5" width="10" style="1" bestFit="1" customWidth="1"/>
    <col min="6" max="6" width="11.1640625" style="10" bestFit="1" customWidth="1"/>
    <col min="7" max="7" width="10.5" style="10" bestFit="1" customWidth="1"/>
    <col min="8" max="8" width="13" style="1" customWidth="1"/>
    <col min="9" max="9" width="14" style="1" customWidth="1"/>
    <col min="10" max="12" width="11.5" style="1"/>
    <col min="13" max="14" width="18.6640625" style="1" customWidth="1"/>
    <col min="15" max="16384" width="11.5" style="1"/>
  </cols>
  <sheetData>
    <row r="1" spans="1:14" ht="47.25" customHeight="1" x14ac:dyDescent="0.2">
      <c r="A1" s="41" t="s">
        <v>136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4"/>
    </row>
    <row r="3" spans="1:14" s="7" customFormat="1" x14ac:dyDescent="0.2">
      <c r="A3" s="5"/>
      <c r="B3" s="6"/>
      <c r="C3" s="6"/>
      <c r="D3" s="6"/>
      <c r="E3" s="6"/>
      <c r="F3" s="6"/>
      <c r="G3" s="6"/>
      <c r="H3" s="6"/>
      <c r="I3" s="6"/>
      <c r="K3" s="8"/>
      <c r="M3" s="8"/>
      <c r="N3" s="8"/>
    </row>
    <row r="4" spans="1:14" s="7" customFormat="1" ht="20" x14ac:dyDescent="0.2">
      <c r="A4" s="86" t="s">
        <v>2</v>
      </c>
      <c r="B4" s="86"/>
      <c r="C4" s="86"/>
      <c r="D4" s="86"/>
      <c r="E4" s="86"/>
      <c r="F4" s="86"/>
      <c r="G4" s="86"/>
      <c r="H4" s="86"/>
      <c r="I4" s="86"/>
      <c r="K4" s="8"/>
      <c r="M4" s="8"/>
      <c r="N4" s="8"/>
    </row>
    <row r="5" spans="1:14" s="7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5</v>
      </c>
      <c r="K5" s="8"/>
      <c r="M5" s="8"/>
      <c r="N5" s="8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8"/>
      <c r="N6" s="8"/>
    </row>
    <row r="7" spans="1:14" ht="16" x14ac:dyDescent="0.2">
      <c r="A7" s="43" t="s">
        <v>159</v>
      </c>
      <c r="B7" s="43"/>
      <c r="C7" s="43"/>
      <c r="D7" s="43"/>
      <c r="E7" s="43"/>
      <c r="F7" s="43"/>
      <c r="G7" s="44" t="s">
        <v>9</v>
      </c>
      <c r="H7" s="44"/>
      <c r="I7" s="21" t="s">
        <v>158</v>
      </c>
      <c r="M7" s="8"/>
      <c r="N7" s="8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8"/>
      <c r="N8" s="8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8"/>
      <c r="N9" s="8"/>
    </row>
    <row r="10" spans="1:14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ht="20.25" customHeight="1" x14ac:dyDescent="0.2">
      <c r="A11" s="87" t="s">
        <v>112</v>
      </c>
      <c r="B11" s="87"/>
      <c r="C11" s="87"/>
      <c r="D11" s="87"/>
      <c r="E11" s="87"/>
      <c r="F11" s="87"/>
      <c r="G11" s="87"/>
      <c r="H11" s="87"/>
      <c r="I11" s="87"/>
    </row>
    <row r="12" spans="1:14" ht="20.25" customHeight="1" x14ac:dyDescent="0.2">
      <c r="A12" s="26" t="s">
        <v>103</v>
      </c>
      <c r="B12" s="24">
        <v>13</v>
      </c>
      <c r="C12" s="24">
        <v>13.5</v>
      </c>
      <c r="D12" s="24">
        <v>14</v>
      </c>
      <c r="E12" s="24">
        <v>15</v>
      </c>
      <c r="F12" s="24">
        <v>1</v>
      </c>
      <c r="G12" s="24">
        <v>1</v>
      </c>
      <c r="H12" s="25">
        <f>AVERAGE(B12:E12)</f>
        <v>13.875</v>
      </c>
      <c r="I12" s="24" t="s">
        <v>1</v>
      </c>
    </row>
    <row r="13" spans="1:14" ht="20.25" customHeight="1" x14ac:dyDescent="0.2">
      <c r="A13" s="27" t="s">
        <v>113</v>
      </c>
      <c r="B13" s="24">
        <v>15</v>
      </c>
      <c r="C13" s="24">
        <v>15</v>
      </c>
      <c r="D13" s="24">
        <v>14</v>
      </c>
      <c r="E13" s="24">
        <v>16</v>
      </c>
      <c r="F13" s="24">
        <v>1</v>
      </c>
      <c r="G13" s="24">
        <v>1</v>
      </c>
      <c r="H13" s="25">
        <f>AVERAGE(B13:E13)</f>
        <v>15</v>
      </c>
      <c r="I13" s="24" t="s">
        <v>1</v>
      </c>
    </row>
    <row r="14" spans="1:14" ht="20.25" customHeight="1" x14ac:dyDescent="0.2">
      <c r="A14" s="27" t="s">
        <v>114</v>
      </c>
      <c r="B14" s="24">
        <v>9</v>
      </c>
      <c r="C14" s="24">
        <v>11</v>
      </c>
      <c r="D14" s="24">
        <v>10</v>
      </c>
      <c r="E14" s="24">
        <v>13</v>
      </c>
      <c r="F14" s="24">
        <v>1</v>
      </c>
      <c r="G14" s="24">
        <v>1</v>
      </c>
      <c r="H14" s="25">
        <f>AVERAGE(B14:E14)</f>
        <v>10.75</v>
      </c>
      <c r="I14" s="24" t="s">
        <v>1</v>
      </c>
    </row>
    <row r="15" spans="1:14" ht="20.25" customHeight="1" x14ac:dyDescent="0.2">
      <c r="A15" s="27" t="s">
        <v>115</v>
      </c>
      <c r="B15" s="24">
        <v>10</v>
      </c>
      <c r="C15" s="24">
        <v>14</v>
      </c>
      <c r="D15" s="24">
        <v>13</v>
      </c>
      <c r="E15" s="24">
        <v>12</v>
      </c>
      <c r="F15" s="24">
        <v>1</v>
      </c>
      <c r="G15" s="24">
        <v>1</v>
      </c>
      <c r="H15" s="25">
        <f t="shared" ref="H15" si="0">AVERAGE(B15:E15)</f>
        <v>12.25</v>
      </c>
      <c r="I15" s="24" t="s">
        <v>1</v>
      </c>
    </row>
    <row r="16" spans="1:14" ht="16" customHeight="1" x14ac:dyDescent="0.2">
      <c r="A16" s="30" t="s">
        <v>134</v>
      </c>
      <c r="B16" s="24">
        <v>14</v>
      </c>
      <c r="C16" s="24">
        <v>11</v>
      </c>
      <c r="D16" s="24">
        <v>12</v>
      </c>
      <c r="E16" s="24">
        <v>15.5</v>
      </c>
      <c r="F16" s="24">
        <v>2</v>
      </c>
      <c r="G16" s="24">
        <v>2</v>
      </c>
      <c r="H16" s="25">
        <f>AVERAGE(B16:E16)</f>
        <v>13.125</v>
      </c>
      <c r="I16" s="24" t="s">
        <v>1</v>
      </c>
    </row>
    <row r="18" spans="1:9" ht="20.25" customHeight="1" x14ac:dyDescent="0.2">
      <c r="A18" s="92" t="s">
        <v>116</v>
      </c>
      <c r="B18" s="92"/>
      <c r="C18" s="92"/>
      <c r="D18" s="92"/>
      <c r="E18" s="92"/>
      <c r="F18" s="92"/>
      <c r="G18" s="92"/>
      <c r="H18" s="92"/>
      <c r="I18" s="92"/>
    </row>
    <row r="19" spans="1:9" x14ac:dyDescent="0.2">
      <c r="A19" s="27" t="s">
        <v>117</v>
      </c>
      <c r="B19" s="28">
        <v>14</v>
      </c>
      <c r="C19" s="28">
        <v>12</v>
      </c>
      <c r="D19" s="28">
        <v>14</v>
      </c>
      <c r="E19" s="29">
        <v>16</v>
      </c>
      <c r="F19" s="24">
        <v>2</v>
      </c>
      <c r="G19" s="24">
        <v>2</v>
      </c>
      <c r="H19" s="25">
        <f>AVERAGE(B19:E19)</f>
        <v>14</v>
      </c>
      <c r="I19" s="24" t="s">
        <v>1</v>
      </c>
    </row>
    <row r="20" spans="1:9" x14ac:dyDescent="0.2">
      <c r="A20" s="27" t="s">
        <v>118</v>
      </c>
      <c r="B20" s="28">
        <v>13</v>
      </c>
      <c r="C20" s="28">
        <v>13</v>
      </c>
      <c r="D20" s="28">
        <v>15</v>
      </c>
      <c r="E20" s="29">
        <v>17</v>
      </c>
      <c r="F20" s="24">
        <v>2</v>
      </c>
      <c r="G20" s="24">
        <v>2</v>
      </c>
      <c r="H20" s="25">
        <f>AVERAGE(B20:E20)</f>
        <v>14.5</v>
      </c>
      <c r="I20" s="24" t="s">
        <v>1</v>
      </c>
    </row>
    <row r="21" spans="1:9" ht="15" customHeight="1" x14ac:dyDescent="0.2">
      <c r="A21" s="13"/>
      <c r="B21" s="10"/>
      <c r="C21" s="10"/>
      <c r="D21" s="10"/>
      <c r="E21" s="10"/>
      <c r="H21" s="11"/>
      <c r="I21" s="10"/>
    </row>
    <row r="22" spans="1:9" ht="20" customHeight="1" x14ac:dyDescent="0.2">
      <c r="A22" s="87" t="s">
        <v>85</v>
      </c>
      <c r="B22" s="87"/>
      <c r="C22" s="87"/>
      <c r="D22" s="87"/>
      <c r="E22" s="87"/>
      <c r="F22" s="87"/>
      <c r="G22" s="87"/>
      <c r="H22" s="87"/>
      <c r="I22" s="87"/>
    </row>
    <row r="23" spans="1:9" x14ac:dyDescent="0.2">
      <c r="A23" s="30" t="s">
        <v>119</v>
      </c>
      <c r="B23" s="24">
        <v>15</v>
      </c>
      <c r="C23" s="24">
        <v>11</v>
      </c>
      <c r="D23" s="24">
        <v>14</v>
      </c>
      <c r="E23" s="24">
        <v>12</v>
      </c>
      <c r="F23" s="24">
        <v>1</v>
      </c>
      <c r="G23" s="24">
        <v>1</v>
      </c>
      <c r="H23" s="25">
        <f>AVERAGE(B23:E23)</f>
        <v>13</v>
      </c>
      <c r="I23" s="24" t="s">
        <v>1</v>
      </c>
    </row>
    <row r="24" spans="1:9" ht="20.25" customHeight="1" x14ac:dyDescent="0.2">
      <c r="A24" s="30" t="s">
        <v>121</v>
      </c>
      <c r="B24" s="24">
        <v>12</v>
      </c>
      <c r="C24" s="24">
        <v>15</v>
      </c>
      <c r="D24" s="24">
        <v>16</v>
      </c>
      <c r="E24" s="24">
        <v>16</v>
      </c>
      <c r="F24" s="24">
        <v>1</v>
      </c>
      <c r="G24" s="24">
        <v>1</v>
      </c>
      <c r="H24" s="25">
        <f>AVERAGE(B24:E24)</f>
        <v>14.75</v>
      </c>
      <c r="I24" s="24" t="s">
        <v>1</v>
      </c>
    </row>
    <row r="25" spans="1:9" ht="20.25" customHeight="1" x14ac:dyDescent="0.2">
      <c r="A25" s="30" t="s">
        <v>120</v>
      </c>
      <c r="B25" s="24">
        <v>10</v>
      </c>
      <c r="C25" s="24">
        <v>15</v>
      </c>
      <c r="D25" s="24">
        <v>13</v>
      </c>
      <c r="E25" s="24">
        <v>15</v>
      </c>
      <c r="F25" s="24">
        <v>1</v>
      </c>
      <c r="G25" s="24">
        <v>1</v>
      </c>
      <c r="H25" s="25">
        <f>AVERAGE(B25:E25)</f>
        <v>13.25</v>
      </c>
      <c r="I25" s="24" t="s">
        <v>1</v>
      </c>
    </row>
    <row r="26" spans="1:9" ht="15" customHeight="1" x14ac:dyDescent="0.2">
      <c r="A26" s="14"/>
      <c r="B26" s="10"/>
      <c r="C26" s="10"/>
      <c r="D26" s="10"/>
      <c r="E26" s="10"/>
      <c r="H26" s="11"/>
      <c r="I26" s="10"/>
    </row>
    <row r="27" spans="1:9" s="10" customFormat="1" ht="20" customHeight="1" x14ac:dyDescent="0.2">
      <c r="A27" s="87" t="s">
        <v>130</v>
      </c>
      <c r="B27" s="87"/>
      <c r="C27" s="87"/>
      <c r="D27" s="87"/>
      <c r="E27" s="87"/>
      <c r="F27" s="87"/>
      <c r="G27" s="87"/>
      <c r="H27" s="87"/>
      <c r="I27" s="87"/>
    </row>
    <row r="28" spans="1:9" s="10" customFormat="1" ht="14" x14ac:dyDescent="0.2">
      <c r="A28" s="30" t="s">
        <v>122</v>
      </c>
      <c r="B28" s="24">
        <v>14</v>
      </c>
      <c r="C28" s="24">
        <v>15</v>
      </c>
      <c r="D28" s="24">
        <v>12.5</v>
      </c>
      <c r="E28" s="24">
        <v>13</v>
      </c>
      <c r="F28" s="24">
        <v>2</v>
      </c>
      <c r="G28" s="24">
        <v>2</v>
      </c>
      <c r="H28" s="25">
        <f t="shared" ref="H28:H29" si="1">AVERAGE(B28:E28)</f>
        <v>13.625</v>
      </c>
      <c r="I28" s="24" t="s">
        <v>1</v>
      </c>
    </row>
    <row r="29" spans="1:9" s="10" customFormat="1" ht="15" customHeight="1" x14ac:dyDescent="0.2">
      <c r="A29" s="26" t="s">
        <v>123</v>
      </c>
      <c r="B29" s="24">
        <v>14</v>
      </c>
      <c r="C29" s="24">
        <v>12</v>
      </c>
      <c r="D29" s="24">
        <v>14</v>
      </c>
      <c r="E29" s="24">
        <v>16</v>
      </c>
      <c r="F29" s="24">
        <v>2</v>
      </c>
      <c r="G29" s="24">
        <v>2</v>
      </c>
      <c r="H29" s="25">
        <f t="shared" si="1"/>
        <v>14</v>
      </c>
      <c r="I29" s="24" t="s">
        <v>1</v>
      </c>
    </row>
    <row r="30" spans="1:9" s="10" customFormat="1" ht="15" customHeight="1" x14ac:dyDescent="0.2">
      <c r="A30" s="30" t="s">
        <v>125</v>
      </c>
      <c r="B30" s="24">
        <v>11</v>
      </c>
      <c r="C30" s="24">
        <v>13</v>
      </c>
      <c r="D30" s="24">
        <v>17</v>
      </c>
      <c r="E30" s="24">
        <v>15.5</v>
      </c>
      <c r="F30" s="24">
        <v>1</v>
      </c>
      <c r="G30" s="24">
        <v>1</v>
      </c>
      <c r="H30" s="25">
        <f>AVERAGE(B30:E30)</f>
        <v>14.125</v>
      </c>
      <c r="I30" s="24" t="s">
        <v>1</v>
      </c>
    </row>
    <row r="31" spans="1:9" s="10" customFormat="1" ht="15" customHeight="1" x14ac:dyDescent="0.2">
      <c r="A31" s="30" t="s">
        <v>131</v>
      </c>
      <c r="B31" s="24">
        <v>13</v>
      </c>
      <c r="C31" s="24">
        <v>12</v>
      </c>
      <c r="D31" s="24">
        <v>16</v>
      </c>
      <c r="E31" s="24">
        <v>18</v>
      </c>
      <c r="F31" s="24">
        <v>1</v>
      </c>
      <c r="G31" s="24">
        <v>1</v>
      </c>
      <c r="H31" s="25">
        <f>AVERAGE(B31:E31)</f>
        <v>14.75</v>
      </c>
      <c r="I31" s="24" t="s">
        <v>1</v>
      </c>
    </row>
    <row r="32" spans="1:9" s="10" customFormat="1" ht="15" customHeight="1" x14ac:dyDescent="0.2">
      <c r="A32" s="30" t="s">
        <v>92</v>
      </c>
      <c r="B32" s="24">
        <v>14</v>
      </c>
      <c r="C32" s="24">
        <v>14</v>
      </c>
      <c r="D32" s="24">
        <v>16</v>
      </c>
      <c r="E32" s="24">
        <v>17</v>
      </c>
      <c r="F32" s="24">
        <v>1</v>
      </c>
      <c r="G32" s="24">
        <v>1</v>
      </c>
      <c r="H32" s="25">
        <f>AVERAGE(B32:E32)</f>
        <v>15.25</v>
      </c>
      <c r="I32" s="24" t="s">
        <v>1</v>
      </c>
    </row>
    <row r="33" spans="1:11" ht="15" customHeight="1" x14ac:dyDescent="0.2">
      <c r="A33" s="13"/>
      <c r="B33" s="10"/>
      <c r="C33" s="10"/>
      <c r="D33" s="10"/>
      <c r="E33" s="10"/>
      <c r="H33" s="11"/>
      <c r="I33" s="10"/>
    </row>
    <row r="34" spans="1:11" ht="20" customHeight="1" x14ac:dyDescent="0.2">
      <c r="A34" s="87" t="s">
        <v>126</v>
      </c>
      <c r="B34" s="87"/>
      <c r="C34" s="87"/>
      <c r="D34" s="87"/>
      <c r="E34" s="87"/>
      <c r="F34" s="87"/>
      <c r="G34" s="87"/>
      <c r="H34" s="87"/>
      <c r="I34" s="87"/>
    </row>
    <row r="35" spans="1:11" ht="16" customHeight="1" x14ac:dyDescent="0.2">
      <c r="A35" s="27" t="s">
        <v>129</v>
      </c>
      <c r="B35" s="24">
        <v>16</v>
      </c>
      <c r="C35" s="24">
        <v>17</v>
      </c>
      <c r="D35" s="24">
        <v>17</v>
      </c>
      <c r="E35" s="24">
        <v>18</v>
      </c>
      <c r="F35" s="24">
        <v>2</v>
      </c>
      <c r="G35" s="24">
        <v>3</v>
      </c>
      <c r="H35" s="25">
        <f t="shared" ref="H35" si="2">AVERAGE(B35:E35)</f>
        <v>17</v>
      </c>
      <c r="I35" s="24" t="s">
        <v>1</v>
      </c>
    </row>
    <row r="36" spans="1:11" ht="15" customHeight="1" x14ac:dyDescent="0.2">
      <c r="A36" s="27" t="s">
        <v>127</v>
      </c>
      <c r="B36" s="24">
        <v>15</v>
      </c>
      <c r="C36" s="24">
        <v>16</v>
      </c>
      <c r="D36" s="24">
        <v>17</v>
      </c>
      <c r="E36" s="24">
        <v>15</v>
      </c>
      <c r="F36" s="24">
        <v>2</v>
      </c>
      <c r="G36" s="24">
        <v>3</v>
      </c>
      <c r="H36" s="25">
        <f>AVERAGE(B36:E36)</f>
        <v>15.75</v>
      </c>
      <c r="I36" s="24" t="s">
        <v>1</v>
      </c>
    </row>
    <row r="37" spans="1:11" ht="15" customHeight="1" x14ac:dyDescent="0.2">
      <c r="A37" s="13"/>
      <c r="B37" s="10"/>
      <c r="C37" s="10"/>
      <c r="D37" s="10"/>
      <c r="E37" s="10"/>
      <c r="H37" s="11"/>
      <c r="I37" s="10"/>
    </row>
    <row r="38" spans="1:11" ht="20" customHeight="1" x14ac:dyDescent="0.2">
      <c r="A38" s="87" t="s">
        <v>132</v>
      </c>
      <c r="B38" s="87"/>
      <c r="C38" s="87"/>
      <c r="D38" s="87"/>
      <c r="E38" s="87"/>
      <c r="F38" s="87"/>
      <c r="G38" s="87"/>
      <c r="H38" s="87"/>
      <c r="I38" s="87"/>
    </row>
    <row r="39" spans="1:11" ht="28" customHeight="1" x14ac:dyDescent="0.2">
      <c r="A39" s="27" t="s">
        <v>135</v>
      </c>
      <c r="B39" s="24">
        <v>12</v>
      </c>
      <c r="C39" s="24">
        <v>11</v>
      </c>
      <c r="D39" s="24">
        <v>14</v>
      </c>
      <c r="E39" s="24">
        <v>16</v>
      </c>
      <c r="F39" s="24">
        <v>2</v>
      </c>
      <c r="G39" s="24">
        <v>2</v>
      </c>
      <c r="H39" s="25">
        <f t="shared" ref="H39:H40" si="3">AVERAGE(B39:E39)</f>
        <v>13.25</v>
      </c>
      <c r="I39" s="24" t="s">
        <v>1</v>
      </c>
    </row>
    <row r="40" spans="1:11" ht="15" customHeight="1" x14ac:dyDescent="0.2">
      <c r="A40" s="27" t="s">
        <v>108</v>
      </c>
      <c r="B40" s="24">
        <v>15</v>
      </c>
      <c r="C40" s="24">
        <v>15</v>
      </c>
      <c r="D40" s="24">
        <v>13</v>
      </c>
      <c r="E40" s="31">
        <v>15</v>
      </c>
      <c r="F40" s="24">
        <v>2</v>
      </c>
      <c r="G40" s="24">
        <v>2</v>
      </c>
      <c r="H40" s="25">
        <f t="shared" si="3"/>
        <v>14.5</v>
      </c>
      <c r="I40" s="24" t="s">
        <v>1</v>
      </c>
    </row>
    <row r="41" spans="1:11" ht="16" x14ac:dyDescent="0.2">
      <c r="A41" s="16"/>
      <c r="B41" s="10"/>
      <c r="C41" s="10"/>
      <c r="D41" s="10"/>
      <c r="E41" s="17"/>
      <c r="F41" s="16"/>
      <c r="G41" s="16"/>
      <c r="H41" s="16"/>
      <c r="I41" s="16"/>
    </row>
    <row r="42" spans="1:11" s="39" customFormat="1" ht="20" customHeight="1" x14ac:dyDescent="0.2">
      <c r="A42" s="36" t="s">
        <v>33</v>
      </c>
      <c r="B42" s="73">
        <f>AVERAGE(H12:H40)</f>
        <v>14.039473684210526</v>
      </c>
      <c r="C42" s="74"/>
      <c r="D42" s="74"/>
      <c r="E42" s="75"/>
      <c r="F42" s="51" t="s">
        <v>34</v>
      </c>
      <c r="G42" s="51"/>
      <c r="H42" s="51"/>
      <c r="I42" s="37" t="s">
        <v>1</v>
      </c>
      <c r="J42" s="38"/>
      <c r="K42" s="38"/>
    </row>
    <row r="43" spans="1:11" s="16" customFormat="1" ht="7" customHeight="1" x14ac:dyDescent="0.2">
      <c r="A43" s="96"/>
      <c r="B43" s="96"/>
      <c r="C43" s="96"/>
      <c r="D43" s="96"/>
      <c r="E43" s="96"/>
      <c r="F43" s="96"/>
      <c r="G43" s="96"/>
      <c r="H43" s="96"/>
      <c r="I43" s="96"/>
      <c r="J43" s="1"/>
      <c r="K43" s="1"/>
    </row>
    <row r="44" spans="1:11" s="39" customFormat="1" ht="20" customHeight="1" x14ac:dyDescent="0.2">
      <c r="A44" s="40" t="s">
        <v>35</v>
      </c>
      <c r="B44" s="73">
        <f>SUM(G12:G40)</f>
        <v>30</v>
      </c>
      <c r="C44" s="74"/>
      <c r="D44" s="74"/>
      <c r="E44" s="75"/>
      <c r="F44" s="69" t="s">
        <v>42</v>
      </c>
      <c r="G44" s="69"/>
      <c r="H44" s="69"/>
      <c r="I44" s="34" t="s">
        <v>153</v>
      </c>
      <c r="J44" s="38"/>
      <c r="K44" s="38"/>
    </row>
    <row r="45" spans="1:11" s="16" customFormat="1" ht="8" customHeight="1" x14ac:dyDescent="0.2">
      <c r="A45" s="102"/>
      <c r="B45" s="102"/>
      <c r="C45" s="102"/>
      <c r="D45" s="102"/>
      <c r="E45" s="102"/>
      <c r="F45" s="102"/>
      <c r="G45" s="102"/>
      <c r="H45" s="102"/>
      <c r="I45" s="102"/>
      <c r="J45" s="1"/>
      <c r="K45" s="1"/>
    </row>
    <row r="46" spans="1:11" s="39" customFormat="1" ht="22.5" customHeight="1" x14ac:dyDescent="0.2">
      <c r="A46" s="35" t="s">
        <v>36</v>
      </c>
      <c r="B46" s="51" t="s">
        <v>39</v>
      </c>
      <c r="C46" s="51"/>
      <c r="D46" s="51"/>
      <c r="E46" s="51"/>
      <c r="F46" s="95" t="s">
        <v>138</v>
      </c>
      <c r="G46" s="95"/>
      <c r="H46" s="95"/>
      <c r="I46" s="95"/>
      <c r="J46" s="38"/>
      <c r="K46" s="38"/>
    </row>
    <row r="47" spans="1:11" s="16" customFormat="1" ht="10" customHeight="1" x14ac:dyDescent="0.2">
      <c r="A47" s="12"/>
      <c r="B47" s="12"/>
      <c r="C47" s="12"/>
      <c r="D47" s="12"/>
      <c r="E47" s="12"/>
      <c r="I47" s="10"/>
      <c r="J47" s="1"/>
      <c r="K47" s="1"/>
    </row>
    <row r="48" spans="1:11" s="16" customFormat="1" ht="22.5" customHeight="1" x14ac:dyDescent="0.2">
      <c r="A48" s="49" t="s">
        <v>37</v>
      </c>
      <c r="B48" s="49"/>
      <c r="C48" s="49"/>
      <c r="D48" s="49"/>
      <c r="E48" s="49"/>
      <c r="F48" s="50" t="s">
        <v>38</v>
      </c>
      <c r="G48" s="50"/>
      <c r="H48" s="50"/>
      <c r="I48" s="50"/>
      <c r="J48" s="1"/>
      <c r="K48" s="1"/>
    </row>
    <row r="49" spans="1:11" s="16" customFormat="1" ht="22.5" customHeight="1" x14ac:dyDescent="0.2">
      <c r="A49" s="99" t="s">
        <v>40</v>
      </c>
      <c r="B49" s="99"/>
      <c r="C49" s="99"/>
      <c r="D49" s="99"/>
      <c r="E49" s="99"/>
      <c r="F49" s="100" t="s">
        <v>44</v>
      </c>
      <c r="G49" s="100"/>
      <c r="H49" s="100"/>
      <c r="I49" s="100"/>
      <c r="J49" s="1"/>
      <c r="K49" s="1"/>
    </row>
    <row r="50" spans="1:11" s="16" customFormat="1" ht="22.5" customHeight="1" x14ac:dyDescent="0.2">
      <c r="A50" s="99"/>
      <c r="B50" s="99"/>
      <c r="C50" s="99"/>
      <c r="D50" s="99"/>
      <c r="E50" s="99"/>
      <c r="F50" s="100"/>
      <c r="G50" s="100"/>
      <c r="H50" s="100"/>
      <c r="I50" s="100"/>
      <c r="J50" s="1"/>
      <c r="K50" s="1"/>
    </row>
    <row r="51" spans="1:11" s="16" customFormat="1" ht="22.5" customHeight="1" x14ac:dyDescent="0.2">
      <c r="A51" s="99"/>
      <c r="B51" s="99"/>
      <c r="C51" s="99"/>
      <c r="D51" s="99"/>
      <c r="E51" s="99"/>
      <c r="F51" s="100"/>
      <c r="G51" s="100"/>
      <c r="H51" s="100"/>
      <c r="I51" s="100"/>
      <c r="J51" s="1"/>
      <c r="K51" s="1"/>
    </row>
    <row r="52" spans="1:11" s="16" customFormat="1" ht="18" customHeight="1" x14ac:dyDescent="0.2">
      <c r="A52" s="99"/>
      <c r="B52" s="99"/>
      <c r="C52" s="99"/>
      <c r="D52" s="99"/>
      <c r="E52" s="99"/>
      <c r="F52" s="100"/>
      <c r="G52" s="100"/>
      <c r="H52" s="100"/>
      <c r="I52" s="100"/>
      <c r="J52" s="1"/>
      <c r="K52" s="1"/>
    </row>
    <row r="53" spans="1:11" s="16" customFormat="1" ht="38" customHeight="1" x14ac:dyDescent="0.2">
      <c r="A53" s="99"/>
      <c r="B53" s="99"/>
      <c r="C53" s="99"/>
      <c r="D53" s="99"/>
      <c r="E53" s="99"/>
      <c r="F53" s="100"/>
      <c r="G53" s="100"/>
      <c r="H53" s="100"/>
      <c r="I53" s="100"/>
      <c r="J53" s="1"/>
      <c r="K53" s="1"/>
    </row>
    <row r="54" spans="1:11" s="16" customFormat="1" x14ac:dyDescent="0.2">
      <c r="A54" s="2"/>
      <c r="B54" s="2"/>
      <c r="C54" s="2"/>
      <c r="D54" s="2"/>
      <c r="E54" s="1"/>
      <c r="F54" s="10"/>
      <c r="G54" s="10"/>
      <c r="H54" s="1"/>
      <c r="I54" s="1"/>
      <c r="J54" s="1"/>
      <c r="K54" s="1"/>
    </row>
  </sheetData>
  <mergeCells count="35">
    <mergeCell ref="A49:E53"/>
    <mergeCell ref="F49:I53"/>
    <mergeCell ref="B42:E42"/>
    <mergeCell ref="B44:E44"/>
    <mergeCell ref="A45:I45"/>
    <mergeCell ref="B46:E46"/>
    <mergeCell ref="F46:I46"/>
    <mergeCell ref="A48:E48"/>
    <mergeCell ref="F48:I48"/>
    <mergeCell ref="A38:I38"/>
    <mergeCell ref="A43:I43"/>
    <mergeCell ref="F42:H42"/>
    <mergeCell ref="F44:H44"/>
    <mergeCell ref="I9:I10"/>
    <mergeCell ref="A11:I11"/>
    <mergeCell ref="A18:I18"/>
    <mergeCell ref="A22:I22"/>
    <mergeCell ref="A27:I27"/>
    <mergeCell ref="A34:I34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1:I1"/>
    <mergeCell ref="A4:I4"/>
    <mergeCell ref="A5:F5"/>
    <mergeCell ref="G5:H5"/>
    <mergeCell ref="A6:F6"/>
    <mergeCell ref="G6:H6"/>
  </mergeCells>
  <conditionalFormatting sqref="I12:I16 I19:I21 I23:I26">
    <cfRule type="containsText" dxfId="19" priority="10" operator="containsText" text="AJOURNE">
      <formula>NOT(ISERROR(SEARCH("AJOURNE",I12)))</formula>
    </cfRule>
    <cfRule type="containsText" dxfId="18" priority="9" operator="containsText" text="ADMIS">
      <formula>NOT(ISERROR(SEARCH("ADMIS",I12)))</formula>
    </cfRule>
  </conditionalFormatting>
  <conditionalFormatting sqref="I28:I33">
    <cfRule type="containsText" dxfId="17" priority="6" operator="containsText" text="AJOURNE">
      <formula>NOT(ISERROR(SEARCH("AJOURNE",I28)))</formula>
    </cfRule>
    <cfRule type="containsText" dxfId="16" priority="5" operator="containsText" text="ADMIS">
      <formula>NOT(ISERROR(SEARCH("ADMIS",I28)))</formula>
    </cfRule>
  </conditionalFormatting>
  <conditionalFormatting sqref="I35:I37">
    <cfRule type="containsText" dxfId="15" priority="4" operator="containsText" text="AJOURNE">
      <formula>NOT(ISERROR(SEARCH("AJOURNE",I35)))</formula>
    </cfRule>
    <cfRule type="containsText" dxfId="14" priority="3" operator="containsText" text="ADMIS">
      <formula>NOT(ISERROR(SEARCH("ADMIS",I35)))</formula>
    </cfRule>
  </conditionalFormatting>
  <conditionalFormatting sqref="I39:I40">
    <cfRule type="containsText" dxfId="13" priority="1" operator="containsText" text="ADMIS">
      <formula>NOT(ISERROR(SEARCH("ADMIS",I39)))</formula>
    </cfRule>
    <cfRule type="containsText" dxfId="12" priority="2" operator="containsText" text="AJOURNE">
      <formula>NOT(ISERROR(SEARCH("AJOURNE",I39)))</formula>
    </cfRule>
  </conditionalFormatting>
  <conditionalFormatting sqref="I42">
    <cfRule type="containsText" dxfId="11" priority="8" operator="containsText" text="AJOURNE">
      <formula>NOT(ISERROR(SEARCH("AJOURNE",I42)))</formula>
    </cfRule>
    <cfRule type="containsText" dxfId="10" priority="7" operator="containsText" text="ADMIS">
      <formula>NOT(ISERROR(SEARCH("ADMIS",I42)))</formula>
    </cfRule>
  </conditionalFormatting>
  <dataValidations count="1">
    <dataValidation type="list" allowBlank="1" showInputMessage="1" showErrorMessage="1" sqref="I42 I12:I16 I19:I21 I23:I26 I28:I33 I35:I37 I39:I40" xr:uid="{AF790903-607B-6646-8DA7-87168FE2CAEE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D7FE-5E0F-6C42-B85A-9986BBF5A1FC}">
  <dimension ref="A1:N49"/>
  <sheetViews>
    <sheetView tabSelected="1" zoomScale="156" zoomScaleNormal="100" workbookViewId="0">
      <selection activeCell="A8" sqref="A8"/>
    </sheetView>
  </sheetViews>
  <sheetFormatPr baseColWidth="10" defaultColWidth="11.5" defaultRowHeight="14" x14ac:dyDescent="0.2"/>
  <cols>
    <col min="1" max="1" width="36.5" style="18" customWidth="1"/>
    <col min="2" max="4" width="6.6640625" style="18" customWidth="1"/>
    <col min="5" max="5" width="10" style="10" bestFit="1" customWidth="1"/>
    <col min="6" max="6" width="11.1640625" style="10" bestFit="1" customWidth="1"/>
    <col min="7" max="7" width="10.5" style="10" bestFit="1" customWidth="1"/>
    <col min="8" max="8" width="13" style="10" customWidth="1"/>
    <col min="9" max="9" width="13.83203125" style="10" customWidth="1"/>
    <col min="10" max="12" width="11.5" style="10"/>
    <col min="13" max="14" width="18.6640625" style="10" customWidth="1"/>
    <col min="15" max="16384" width="11.5" style="10"/>
  </cols>
  <sheetData>
    <row r="1" spans="1:14" ht="47.25" customHeight="1" x14ac:dyDescent="0.2">
      <c r="A1" s="41" t="s">
        <v>136</v>
      </c>
      <c r="B1" s="41"/>
      <c r="C1" s="41"/>
      <c r="D1" s="41"/>
      <c r="E1" s="41"/>
      <c r="F1" s="41"/>
      <c r="G1" s="41"/>
      <c r="H1" s="41"/>
      <c r="I1" s="41"/>
    </row>
    <row r="2" spans="1:14" ht="41.25" customHeight="1" x14ac:dyDescent="0.2">
      <c r="B2" s="3"/>
      <c r="C2" s="3"/>
      <c r="D2" s="3"/>
      <c r="E2" s="3"/>
      <c r="F2" s="3"/>
      <c r="G2" s="3"/>
      <c r="H2" s="3"/>
      <c r="I2" s="3"/>
      <c r="K2" s="19"/>
    </row>
    <row r="3" spans="1:14" s="15" customFormat="1" x14ac:dyDescent="0.2">
      <c r="A3" s="5"/>
      <c r="B3" s="6"/>
      <c r="C3" s="6"/>
      <c r="D3" s="6"/>
      <c r="E3" s="6"/>
      <c r="F3" s="6"/>
      <c r="G3" s="6"/>
      <c r="H3" s="6"/>
      <c r="I3" s="6"/>
      <c r="K3" s="20"/>
      <c r="M3" s="20"/>
      <c r="N3" s="20"/>
    </row>
    <row r="4" spans="1:14" s="15" customFormat="1" ht="20" x14ac:dyDescent="0.2">
      <c r="A4" s="86" t="s">
        <v>2</v>
      </c>
      <c r="B4" s="86"/>
      <c r="C4" s="86"/>
      <c r="D4" s="86"/>
      <c r="E4" s="86"/>
      <c r="F4" s="86"/>
      <c r="G4" s="86"/>
      <c r="H4" s="86"/>
      <c r="I4" s="86"/>
      <c r="K4" s="20"/>
      <c r="M4" s="20"/>
      <c r="N4" s="20"/>
    </row>
    <row r="5" spans="1:14" s="15" customFormat="1" ht="15" customHeight="1" x14ac:dyDescent="0.2">
      <c r="A5" s="43" t="s">
        <v>3</v>
      </c>
      <c r="B5" s="43"/>
      <c r="C5" s="43"/>
      <c r="D5" s="43"/>
      <c r="E5" s="43"/>
      <c r="F5" s="43"/>
      <c r="G5" s="44" t="s">
        <v>4</v>
      </c>
      <c r="H5" s="44"/>
      <c r="I5" s="22">
        <v>6</v>
      </c>
      <c r="K5" s="20"/>
      <c r="M5" s="20"/>
      <c r="N5" s="20"/>
    </row>
    <row r="6" spans="1:14" ht="15" customHeight="1" x14ac:dyDescent="0.2">
      <c r="A6" s="43" t="s">
        <v>5</v>
      </c>
      <c r="B6" s="43"/>
      <c r="C6" s="43"/>
      <c r="D6" s="43"/>
      <c r="E6" s="43"/>
      <c r="F6" s="43"/>
      <c r="G6" s="44" t="s">
        <v>6</v>
      </c>
      <c r="H6" s="44"/>
      <c r="I6" s="21" t="s">
        <v>7</v>
      </c>
      <c r="M6" s="20"/>
      <c r="N6" s="20"/>
    </row>
    <row r="7" spans="1:14" ht="16" x14ac:dyDescent="0.2">
      <c r="A7" s="43" t="s">
        <v>159</v>
      </c>
      <c r="B7" s="43"/>
      <c r="C7" s="43"/>
      <c r="D7" s="43"/>
      <c r="E7" s="43"/>
      <c r="F7" s="43"/>
      <c r="G7" s="44" t="s">
        <v>9</v>
      </c>
      <c r="H7" s="44"/>
      <c r="I7" s="21" t="s">
        <v>158</v>
      </c>
      <c r="M7" s="20"/>
      <c r="N7" s="20"/>
    </row>
    <row r="8" spans="1:14" ht="30" customHeight="1" x14ac:dyDescent="0.2">
      <c r="B8" s="45"/>
      <c r="C8" s="45"/>
      <c r="D8" s="45"/>
      <c r="E8" s="45"/>
      <c r="F8" s="45"/>
      <c r="G8" s="46"/>
      <c r="H8" s="46"/>
      <c r="I8" s="9"/>
      <c r="M8" s="20"/>
      <c r="N8" s="20"/>
    </row>
    <row r="9" spans="1:14" ht="34" customHeight="1" x14ac:dyDescent="0.2">
      <c r="A9" s="47" t="s">
        <v>11</v>
      </c>
      <c r="B9" s="47" t="s">
        <v>12</v>
      </c>
      <c r="C9" s="47"/>
      <c r="D9" s="47"/>
      <c r="E9" s="47" t="s">
        <v>13</v>
      </c>
      <c r="F9" s="47" t="s">
        <v>14</v>
      </c>
      <c r="G9" s="47" t="s">
        <v>15</v>
      </c>
      <c r="H9" s="47" t="s">
        <v>16</v>
      </c>
      <c r="I9" s="47" t="s">
        <v>17</v>
      </c>
      <c r="M9" s="20"/>
      <c r="N9" s="20"/>
    </row>
    <row r="10" spans="1:14" ht="15" x14ac:dyDescent="0.2">
      <c r="A10" s="47"/>
      <c r="B10" s="23" t="s">
        <v>18</v>
      </c>
      <c r="C10" s="23" t="s">
        <v>19</v>
      </c>
      <c r="D10" s="23" t="s">
        <v>20</v>
      </c>
      <c r="E10" s="47"/>
      <c r="F10" s="47"/>
      <c r="G10" s="47"/>
      <c r="H10" s="47"/>
      <c r="I10" s="47"/>
    </row>
    <row r="11" spans="1:14" s="1" customFormat="1" ht="20.25" customHeight="1" x14ac:dyDescent="0.2">
      <c r="A11" s="87" t="s">
        <v>141</v>
      </c>
      <c r="B11" s="87"/>
      <c r="C11" s="87"/>
      <c r="D11" s="87"/>
      <c r="E11" s="87"/>
      <c r="F11" s="87"/>
      <c r="G11" s="87"/>
      <c r="H11" s="87"/>
      <c r="I11" s="87"/>
    </row>
    <row r="12" spans="1:14" s="1" customFormat="1" ht="20.25" customHeight="1" x14ac:dyDescent="0.2">
      <c r="A12" s="26" t="s">
        <v>142</v>
      </c>
      <c r="B12" s="24">
        <v>15</v>
      </c>
      <c r="C12" s="24">
        <v>15</v>
      </c>
      <c r="D12" s="24"/>
      <c r="E12" s="24">
        <v>15</v>
      </c>
      <c r="F12" s="24">
        <v>1</v>
      </c>
      <c r="G12" s="24">
        <v>1</v>
      </c>
      <c r="H12" s="25">
        <f>AVERAGE(B12:E12)</f>
        <v>15</v>
      </c>
      <c r="I12" s="24" t="s">
        <v>1</v>
      </c>
    </row>
    <row r="13" spans="1:14" s="1" customFormat="1" ht="20.25" customHeight="1" x14ac:dyDescent="0.2">
      <c r="A13" s="27" t="s">
        <v>143</v>
      </c>
      <c r="B13" s="24">
        <v>14</v>
      </c>
      <c r="C13" s="24">
        <v>15</v>
      </c>
      <c r="D13" s="24">
        <v>16</v>
      </c>
      <c r="E13" s="24">
        <v>16</v>
      </c>
      <c r="F13" s="24">
        <v>1</v>
      </c>
      <c r="G13" s="24">
        <v>1</v>
      </c>
      <c r="H13" s="25">
        <f>AVERAGE(B13:E13)</f>
        <v>15.25</v>
      </c>
      <c r="I13" s="24" t="s">
        <v>1</v>
      </c>
    </row>
    <row r="14" spans="1:14" s="1" customFormat="1" ht="20.25" customHeight="1" x14ac:dyDescent="0.2">
      <c r="A14" s="27" t="s">
        <v>144</v>
      </c>
      <c r="B14" s="24">
        <v>9</v>
      </c>
      <c r="C14" s="24">
        <v>11</v>
      </c>
      <c r="D14" s="24">
        <v>10</v>
      </c>
      <c r="E14" s="24">
        <v>13</v>
      </c>
      <c r="F14" s="24">
        <v>1</v>
      </c>
      <c r="G14" s="24">
        <v>1</v>
      </c>
      <c r="H14" s="25">
        <f>AVERAGE(B14:E14)</f>
        <v>10.75</v>
      </c>
      <c r="I14" s="24" t="s">
        <v>1</v>
      </c>
    </row>
    <row r="16" spans="1:14" ht="20.25" customHeight="1" x14ac:dyDescent="0.2">
      <c r="A16" s="92" t="s">
        <v>145</v>
      </c>
      <c r="B16" s="92"/>
      <c r="C16" s="92"/>
      <c r="D16" s="92"/>
      <c r="E16" s="92"/>
      <c r="F16" s="92"/>
      <c r="G16" s="92"/>
      <c r="H16" s="92"/>
      <c r="I16" s="92"/>
    </row>
    <row r="17" spans="1:11" ht="16" customHeight="1" x14ac:dyDescent="0.2">
      <c r="A17" s="30" t="s">
        <v>47</v>
      </c>
      <c r="B17" s="24">
        <v>11</v>
      </c>
      <c r="C17" s="24">
        <v>13</v>
      </c>
      <c r="D17" s="24">
        <v>10.5</v>
      </c>
      <c r="E17" s="24">
        <v>15</v>
      </c>
      <c r="F17" s="24">
        <v>2</v>
      </c>
      <c r="G17" s="24">
        <v>2</v>
      </c>
      <c r="H17" s="25">
        <f t="shared" ref="H17:H30" si="0">AVERAGE(B17:E17)</f>
        <v>12.375</v>
      </c>
      <c r="I17" s="24" t="s">
        <v>1</v>
      </c>
    </row>
    <row r="18" spans="1:11" ht="16" customHeight="1" x14ac:dyDescent="0.2">
      <c r="A18" s="26" t="s">
        <v>146</v>
      </c>
      <c r="B18" s="24">
        <v>14</v>
      </c>
      <c r="C18" s="24">
        <v>12</v>
      </c>
      <c r="D18" s="24">
        <v>13</v>
      </c>
      <c r="E18" s="24">
        <v>15</v>
      </c>
      <c r="F18" s="24">
        <v>2</v>
      </c>
      <c r="G18" s="24">
        <v>2</v>
      </c>
      <c r="H18" s="25">
        <f t="shared" si="0"/>
        <v>13.5</v>
      </c>
      <c r="I18" s="24" t="s">
        <v>1</v>
      </c>
    </row>
    <row r="19" spans="1:11" ht="15" customHeight="1" x14ac:dyDescent="0.2">
      <c r="A19" s="27" t="s">
        <v>147</v>
      </c>
      <c r="B19" s="24">
        <v>11</v>
      </c>
      <c r="C19" s="24">
        <v>13</v>
      </c>
      <c r="D19" s="24">
        <v>15</v>
      </c>
      <c r="E19" s="24">
        <v>15</v>
      </c>
      <c r="F19" s="24">
        <v>2</v>
      </c>
      <c r="G19" s="24">
        <v>2</v>
      </c>
      <c r="H19" s="25">
        <f t="shared" si="0"/>
        <v>13.5</v>
      </c>
      <c r="I19" s="24" t="s">
        <v>1</v>
      </c>
    </row>
    <row r="20" spans="1:11" ht="16" customHeight="1" x14ac:dyDescent="0.2">
      <c r="A20" s="27" t="s">
        <v>30</v>
      </c>
      <c r="B20" s="24">
        <v>12</v>
      </c>
      <c r="C20" s="24">
        <v>15</v>
      </c>
      <c r="D20" s="24">
        <v>14</v>
      </c>
      <c r="E20" s="24">
        <v>17</v>
      </c>
      <c r="F20" s="24">
        <v>2</v>
      </c>
      <c r="G20" s="24">
        <v>2</v>
      </c>
      <c r="H20" s="25">
        <f t="shared" si="0"/>
        <v>14.5</v>
      </c>
      <c r="I20" s="24" t="s">
        <v>1</v>
      </c>
    </row>
    <row r="21" spans="1:11" ht="20" customHeight="1" x14ac:dyDescent="0.2">
      <c r="A21" s="13"/>
      <c r="B21" s="10"/>
      <c r="C21" s="10"/>
      <c r="D21" s="10"/>
      <c r="H21" s="11"/>
    </row>
    <row r="22" spans="1:11" ht="20" customHeight="1" x14ac:dyDescent="0.2">
      <c r="A22" s="87" t="s">
        <v>152</v>
      </c>
      <c r="B22" s="87"/>
      <c r="C22" s="87"/>
      <c r="D22" s="87"/>
      <c r="E22" s="87"/>
      <c r="F22" s="87"/>
      <c r="G22" s="87"/>
      <c r="H22" s="87"/>
      <c r="I22" s="87"/>
    </row>
    <row r="23" spans="1:11" x14ac:dyDescent="0.2">
      <c r="A23" s="30" t="s">
        <v>59</v>
      </c>
      <c r="B23" s="24">
        <v>15</v>
      </c>
      <c r="C23" s="24">
        <v>14</v>
      </c>
      <c r="D23" s="24">
        <v>16</v>
      </c>
      <c r="E23" s="24">
        <v>15.5</v>
      </c>
      <c r="F23" s="24">
        <v>2</v>
      </c>
      <c r="G23" s="24">
        <v>2</v>
      </c>
      <c r="H23" s="25">
        <f>AVERAGE(B23:E23)</f>
        <v>15.125</v>
      </c>
      <c r="I23" s="24" t="s">
        <v>1</v>
      </c>
    </row>
    <row r="24" spans="1:11" ht="15" customHeight="1" x14ac:dyDescent="0.2">
      <c r="A24" s="26" t="s">
        <v>149</v>
      </c>
      <c r="B24" s="24">
        <v>16</v>
      </c>
      <c r="C24" s="24">
        <v>16</v>
      </c>
      <c r="D24" s="24">
        <v>17</v>
      </c>
      <c r="E24" s="24">
        <v>15.5</v>
      </c>
      <c r="F24" s="24">
        <v>2</v>
      </c>
      <c r="G24" s="24">
        <v>2</v>
      </c>
      <c r="H24" s="25">
        <f t="shared" si="0"/>
        <v>16.125</v>
      </c>
      <c r="I24" s="24" t="s">
        <v>1</v>
      </c>
    </row>
    <row r="25" spans="1:11" ht="16" customHeight="1" x14ac:dyDescent="0.2">
      <c r="A25" s="30" t="s">
        <v>150</v>
      </c>
      <c r="B25" s="24">
        <v>12</v>
      </c>
      <c r="C25" s="24">
        <v>13</v>
      </c>
      <c r="D25" s="24">
        <v>17</v>
      </c>
      <c r="E25" s="24">
        <v>16</v>
      </c>
      <c r="F25" s="24">
        <v>2</v>
      </c>
      <c r="G25" s="24">
        <v>2</v>
      </c>
      <c r="H25" s="25">
        <f>AVERAGE(B25:E25)</f>
        <v>14.5</v>
      </c>
      <c r="I25" s="24" t="s">
        <v>1</v>
      </c>
    </row>
    <row r="26" spans="1:11" ht="16" customHeight="1" x14ac:dyDescent="0.2">
      <c r="A26" s="30" t="s">
        <v>151</v>
      </c>
      <c r="B26" s="24">
        <v>13</v>
      </c>
      <c r="C26" s="24">
        <v>14</v>
      </c>
      <c r="D26" s="24">
        <v>17</v>
      </c>
      <c r="E26" s="24">
        <v>16</v>
      </c>
      <c r="F26" s="24">
        <v>2</v>
      </c>
      <c r="G26" s="24">
        <v>2</v>
      </c>
      <c r="H26" s="25">
        <f>AVERAGE(B26:E26)</f>
        <v>15</v>
      </c>
      <c r="I26" s="24" t="s">
        <v>1</v>
      </c>
    </row>
    <row r="27" spans="1:11" ht="20.25" customHeight="1" x14ac:dyDescent="0.2">
      <c r="A27" s="14"/>
      <c r="B27" s="10"/>
      <c r="C27" s="10"/>
      <c r="D27" s="10"/>
      <c r="H27" s="11"/>
    </row>
    <row r="28" spans="1:11" ht="20" customHeight="1" x14ac:dyDescent="0.2">
      <c r="A28" s="87" t="s">
        <v>155</v>
      </c>
      <c r="B28" s="87"/>
      <c r="C28" s="87"/>
      <c r="D28" s="87"/>
      <c r="E28" s="87"/>
      <c r="F28" s="87"/>
      <c r="G28" s="87"/>
      <c r="H28" s="87"/>
      <c r="I28" s="87"/>
    </row>
    <row r="29" spans="1:11" s="1" customFormat="1" ht="15" customHeight="1" x14ac:dyDescent="0.2">
      <c r="A29" s="27" t="s">
        <v>157</v>
      </c>
      <c r="B29" s="24">
        <v>15</v>
      </c>
      <c r="C29" s="24">
        <v>15</v>
      </c>
      <c r="D29" s="24">
        <v>16.5</v>
      </c>
      <c r="E29" s="24">
        <v>15</v>
      </c>
      <c r="F29" s="24">
        <v>2</v>
      </c>
      <c r="G29" s="24">
        <v>2</v>
      </c>
      <c r="H29" s="25">
        <f t="shared" ref="H29" si="1">AVERAGE(B29:E29)</f>
        <v>15.375</v>
      </c>
      <c r="I29" s="24" t="s">
        <v>1</v>
      </c>
    </row>
    <row r="30" spans="1:11" ht="15" customHeight="1" x14ac:dyDescent="0.2">
      <c r="A30" s="27" t="s">
        <v>148</v>
      </c>
      <c r="B30" s="24">
        <v>11</v>
      </c>
      <c r="C30" s="24">
        <v>13</v>
      </c>
      <c r="D30" s="24">
        <v>15</v>
      </c>
      <c r="E30" s="24"/>
      <c r="F30" s="24">
        <v>1</v>
      </c>
      <c r="G30" s="24">
        <v>1</v>
      </c>
      <c r="H30" s="25">
        <f t="shared" si="0"/>
        <v>13</v>
      </c>
      <c r="I30" s="24" t="s">
        <v>1</v>
      </c>
    </row>
    <row r="31" spans="1:11" ht="20" customHeight="1" x14ac:dyDescent="0.2">
      <c r="A31" s="13"/>
      <c r="B31" s="10"/>
      <c r="C31" s="10"/>
      <c r="D31" s="10"/>
      <c r="H31" s="11"/>
    </row>
    <row r="32" spans="1:11" ht="20" customHeight="1" x14ac:dyDescent="0.2">
      <c r="A32" s="87" t="s">
        <v>156</v>
      </c>
      <c r="B32" s="87"/>
      <c r="C32" s="87"/>
      <c r="D32" s="87"/>
      <c r="E32" s="87"/>
      <c r="F32" s="87"/>
      <c r="G32" s="87"/>
      <c r="H32" s="87"/>
      <c r="I32" s="87"/>
      <c r="J32" s="16"/>
      <c r="K32" s="16"/>
    </row>
    <row r="33" spans="1:11" s="16" customFormat="1" ht="15" customHeight="1" x14ac:dyDescent="0.2">
      <c r="A33" s="27" t="s">
        <v>32</v>
      </c>
      <c r="B33" s="106">
        <v>14</v>
      </c>
      <c r="C33" s="106"/>
      <c r="D33" s="106"/>
      <c r="E33" s="106"/>
      <c r="F33" s="24">
        <v>2</v>
      </c>
      <c r="G33" s="24">
        <v>2</v>
      </c>
      <c r="H33" s="25">
        <f>AVERAGE(B33)</f>
        <v>14</v>
      </c>
      <c r="I33" s="24" t="s">
        <v>1</v>
      </c>
      <c r="J33" s="10"/>
      <c r="K33" s="10"/>
    </row>
    <row r="34" spans="1:11" ht="15" customHeight="1" x14ac:dyDescent="0.2">
      <c r="A34" s="30" t="s">
        <v>133</v>
      </c>
      <c r="B34" s="106">
        <v>17</v>
      </c>
      <c r="C34" s="106"/>
      <c r="D34" s="106"/>
      <c r="E34" s="106"/>
      <c r="F34" s="24">
        <v>2</v>
      </c>
      <c r="G34" s="24">
        <v>2</v>
      </c>
      <c r="H34" s="25">
        <f>AVERAGE(B34:E34)</f>
        <v>17</v>
      </c>
      <c r="I34" s="24" t="s">
        <v>1</v>
      </c>
    </row>
    <row r="35" spans="1:11" s="16" customFormat="1" ht="15" customHeight="1" x14ac:dyDescent="0.2">
      <c r="A35" s="27" t="s">
        <v>140</v>
      </c>
      <c r="B35" s="106">
        <v>15</v>
      </c>
      <c r="C35" s="106"/>
      <c r="D35" s="106"/>
      <c r="E35" s="106"/>
      <c r="F35" s="24">
        <v>4</v>
      </c>
      <c r="G35" s="24">
        <v>4</v>
      </c>
      <c r="H35" s="25">
        <f>AVERAGE(B35:E35)</f>
        <v>15</v>
      </c>
      <c r="I35" s="24" t="s">
        <v>1</v>
      </c>
      <c r="J35" s="10"/>
      <c r="K35" s="10"/>
    </row>
    <row r="36" spans="1:11" x14ac:dyDescent="0.2">
      <c r="A36" s="67"/>
      <c r="B36" s="67"/>
      <c r="C36" s="67"/>
      <c r="D36" s="67"/>
      <c r="E36" s="67"/>
      <c r="F36" s="67"/>
      <c r="G36" s="67"/>
      <c r="H36" s="67"/>
      <c r="I36" s="67"/>
    </row>
    <row r="37" spans="1:11" s="39" customFormat="1" ht="20" customHeight="1" x14ac:dyDescent="0.2">
      <c r="A37" s="36" t="s">
        <v>33</v>
      </c>
      <c r="B37" s="73">
        <f>AVERAGE(H12:H35)</f>
        <v>14.375</v>
      </c>
      <c r="C37" s="74"/>
      <c r="D37" s="74"/>
      <c r="E37" s="75"/>
      <c r="F37" s="105" t="s">
        <v>34</v>
      </c>
      <c r="G37" s="105"/>
      <c r="H37" s="105"/>
      <c r="I37" s="37" t="s">
        <v>1</v>
      </c>
    </row>
    <row r="38" spans="1:11" s="16" customFormat="1" ht="9" customHeight="1" x14ac:dyDescent="0.2">
      <c r="A38" s="96"/>
      <c r="B38" s="96"/>
      <c r="C38" s="96"/>
      <c r="D38" s="96"/>
      <c r="E38" s="96"/>
      <c r="F38" s="96"/>
      <c r="G38" s="96"/>
      <c r="H38" s="96"/>
      <c r="I38" s="96"/>
      <c r="J38" s="10"/>
      <c r="K38" s="10"/>
    </row>
    <row r="39" spans="1:11" s="39" customFormat="1" ht="20" customHeight="1" x14ac:dyDescent="0.2">
      <c r="A39" s="40" t="s">
        <v>35</v>
      </c>
      <c r="B39" s="68">
        <f>SUM(G12:G35)</f>
        <v>30</v>
      </c>
      <c r="C39" s="68"/>
      <c r="D39" s="68"/>
      <c r="E39" s="68"/>
      <c r="F39" s="69" t="s">
        <v>42</v>
      </c>
      <c r="G39" s="69"/>
      <c r="H39" s="69"/>
      <c r="I39" s="34" t="s">
        <v>154</v>
      </c>
    </row>
    <row r="40" spans="1:11" s="16" customFormat="1" ht="10" customHeight="1" x14ac:dyDescent="0.2">
      <c r="A40" s="96"/>
      <c r="B40" s="96"/>
      <c r="C40" s="96"/>
      <c r="D40" s="96"/>
      <c r="E40" s="96"/>
      <c r="F40" s="96"/>
      <c r="G40" s="96"/>
      <c r="H40" s="96"/>
      <c r="I40" s="96"/>
      <c r="J40" s="10"/>
      <c r="K40" s="10"/>
    </row>
    <row r="41" spans="1:11" s="39" customFormat="1" ht="22.5" customHeight="1" x14ac:dyDescent="0.2">
      <c r="A41" s="35" t="s">
        <v>36</v>
      </c>
      <c r="B41" s="104" t="s">
        <v>39</v>
      </c>
      <c r="C41" s="104"/>
      <c r="D41" s="104"/>
      <c r="E41" s="104"/>
      <c r="F41" s="95" t="s">
        <v>139</v>
      </c>
      <c r="G41" s="95"/>
      <c r="H41" s="95"/>
      <c r="I41" s="95"/>
    </row>
    <row r="42" spans="1:11" s="16" customFormat="1" ht="16" customHeight="1" x14ac:dyDescent="0.2">
      <c r="A42" s="71"/>
      <c r="B42" s="71"/>
      <c r="C42" s="71"/>
      <c r="D42" s="71"/>
      <c r="E42" s="71"/>
      <c r="F42" s="71"/>
      <c r="G42" s="71"/>
      <c r="H42" s="71"/>
      <c r="I42" s="71"/>
      <c r="J42" s="10"/>
      <c r="K42" s="10"/>
    </row>
    <row r="43" spans="1:11" s="16" customFormat="1" ht="22.5" customHeight="1" x14ac:dyDescent="0.2">
      <c r="A43" s="49" t="s">
        <v>37</v>
      </c>
      <c r="B43" s="49"/>
      <c r="C43" s="49"/>
      <c r="D43" s="49"/>
      <c r="E43" s="49"/>
      <c r="F43" s="50" t="s">
        <v>38</v>
      </c>
      <c r="G43" s="50"/>
      <c r="H43" s="50"/>
      <c r="I43" s="50"/>
      <c r="J43" s="10"/>
      <c r="K43" s="10"/>
    </row>
    <row r="44" spans="1:11" s="16" customFormat="1" ht="22.5" customHeight="1" x14ac:dyDescent="0.2">
      <c r="A44" s="99" t="s">
        <v>40</v>
      </c>
      <c r="B44" s="99"/>
      <c r="C44" s="99"/>
      <c r="D44" s="99"/>
      <c r="E44" s="99"/>
      <c r="F44" s="100" t="s">
        <v>44</v>
      </c>
      <c r="G44" s="100"/>
      <c r="H44" s="100"/>
      <c r="I44" s="100"/>
      <c r="J44" s="10"/>
      <c r="K44" s="10"/>
    </row>
    <row r="45" spans="1:11" s="16" customFormat="1" ht="22.5" customHeight="1" x14ac:dyDescent="0.2">
      <c r="A45" s="99"/>
      <c r="B45" s="99"/>
      <c r="C45" s="99"/>
      <c r="D45" s="99"/>
      <c r="E45" s="99"/>
      <c r="F45" s="100"/>
      <c r="G45" s="100"/>
      <c r="H45" s="100"/>
      <c r="I45" s="100"/>
      <c r="J45" s="10"/>
      <c r="K45" s="10"/>
    </row>
    <row r="46" spans="1:11" s="16" customFormat="1" ht="22.5" customHeight="1" x14ac:dyDescent="0.2">
      <c r="A46" s="99"/>
      <c r="B46" s="99"/>
      <c r="C46" s="99"/>
      <c r="D46" s="99"/>
      <c r="E46" s="99"/>
      <c r="F46" s="100"/>
      <c r="G46" s="100"/>
      <c r="H46" s="100"/>
      <c r="I46" s="100"/>
      <c r="J46" s="10"/>
      <c r="K46" s="10"/>
    </row>
    <row r="47" spans="1:11" s="16" customFormat="1" ht="18" customHeight="1" x14ac:dyDescent="0.2">
      <c r="A47" s="99"/>
      <c r="B47" s="99"/>
      <c r="C47" s="99"/>
      <c r="D47" s="99"/>
      <c r="E47" s="99"/>
      <c r="F47" s="100"/>
      <c r="G47" s="100"/>
      <c r="H47" s="100"/>
      <c r="I47" s="100"/>
      <c r="J47" s="10"/>
      <c r="K47" s="10"/>
    </row>
    <row r="48" spans="1:11" s="16" customFormat="1" ht="38" customHeight="1" x14ac:dyDescent="0.2">
      <c r="A48" s="99"/>
      <c r="B48" s="99"/>
      <c r="C48" s="99"/>
      <c r="D48" s="99"/>
      <c r="E48" s="99"/>
      <c r="F48" s="100"/>
      <c r="G48" s="100"/>
      <c r="H48" s="100"/>
      <c r="I48" s="100"/>
      <c r="J48" s="10"/>
      <c r="K48" s="10"/>
    </row>
    <row r="49" spans="1:11" s="16" customFormat="1" x14ac:dyDescent="0.2">
      <c r="A49" s="18"/>
      <c r="B49" s="18"/>
      <c r="C49" s="18"/>
      <c r="D49" s="18"/>
      <c r="E49" s="10"/>
      <c r="F49" s="10"/>
      <c r="G49" s="10"/>
      <c r="H49" s="10"/>
      <c r="I49" s="10"/>
      <c r="J49" s="10"/>
      <c r="K49" s="10"/>
    </row>
  </sheetData>
  <mergeCells count="39">
    <mergeCell ref="A32:I32"/>
    <mergeCell ref="A36:I36"/>
    <mergeCell ref="A43:E43"/>
    <mergeCell ref="F43:I43"/>
    <mergeCell ref="A44:E48"/>
    <mergeCell ref="F44:I48"/>
    <mergeCell ref="A42:I42"/>
    <mergeCell ref="B41:E41"/>
    <mergeCell ref="F41:I41"/>
    <mergeCell ref="I9:I10"/>
    <mergeCell ref="F37:H37"/>
    <mergeCell ref="B33:E33"/>
    <mergeCell ref="B35:E35"/>
    <mergeCell ref="B34:E34"/>
    <mergeCell ref="A11:I11"/>
    <mergeCell ref="A38:I38"/>
    <mergeCell ref="B37:E37"/>
    <mergeCell ref="F39:H39"/>
    <mergeCell ref="A40:I40"/>
    <mergeCell ref="B39:E39"/>
    <mergeCell ref="A16:I16"/>
    <mergeCell ref="A22:I22"/>
    <mergeCell ref="A28:I28"/>
    <mergeCell ref="A7:F7"/>
    <mergeCell ref="G7:H7"/>
    <mergeCell ref="B8:F8"/>
    <mergeCell ref="G8:H8"/>
    <mergeCell ref="A9:A10"/>
    <mergeCell ref="B9:D9"/>
    <mergeCell ref="E9:E10"/>
    <mergeCell ref="F9:F10"/>
    <mergeCell ref="G9:G10"/>
    <mergeCell ref="H9:H10"/>
    <mergeCell ref="A1:I1"/>
    <mergeCell ref="A4:I4"/>
    <mergeCell ref="A5:F5"/>
    <mergeCell ref="G5:H5"/>
    <mergeCell ref="A6:F6"/>
    <mergeCell ref="G6:H6"/>
  </mergeCells>
  <conditionalFormatting sqref="I12:I14">
    <cfRule type="containsText" dxfId="9" priority="3" operator="containsText" text="ADMIS">
      <formula>NOT(ISERROR(SEARCH("ADMIS",I12)))</formula>
    </cfRule>
    <cfRule type="containsText" dxfId="8" priority="4" operator="containsText" text="AJOURNE">
      <formula>NOT(ISERROR(SEARCH("AJOURNE",I12)))</formula>
    </cfRule>
  </conditionalFormatting>
  <conditionalFormatting sqref="I17:I21 I23:I27">
    <cfRule type="containsText" dxfId="7" priority="10" operator="containsText" text="AJOURNE">
      <formula>NOT(ISERROR(SEARCH("AJOURNE",I17)))</formula>
    </cfRule>
    <cfRule type="containsText" dxfId="6" priority="9" operator="containsText" text="ADMIS">
      <formula>NOT(ISERROR(SEARCH("ADMIS",I17)))</formula>
    </cfRule>
  </conditionalFormatting>
  <conditionalFormatting sqref="I29:I31">
    <cfRule type="containsText" dxfId="5" priority="1" operator="containsText" text="ADMIS">
      <formula>NOT(ISERROR(SEARCH("ADMIS",I29)))</formula>
    </cfRule>
    <cfRule type="containsText" dxfId="4" priority="2" operator="containsText" text="AJOURNE">
      <formula>NOT(ISERROR(SEARCH("AJOURNE",I29)))</formula>
    </cfRule>
  </conditionalFormatting>
  <conditionalFormatting sqref="I33:I35">
    <cfRule type="containsText" dxfId="3" priority="5" operator="containsText" text="ADMIS">
      <formula>NOT(ISERROR(SEARCH("ADMIS",I33)))</formula>
    </cfRule>
    <cfRule type="containsText" dxfId="2" priority="6" operator="containsText" text="AJOURNE">
      <formula>NOT(ISERROR(SEARCH("AJOURNE",I33)))</formula>
    </cfRule>
  </conditionalFormatting>
  <conditionalFormatting sqref="I37">
    <cfRule type="containsText" dxfId="1" priority="7" operator="containsText" text="ADMIS">
      <formula>NOT(ISERROR(SEARCH("ADMIS",I37)))</formula>
    </cfRule>
    <cfRule type="containsText" dxfId="0" priority="8" operator="containsText" text="AJOURNE">
      <formula>NOT(ISERROR(SEARCH("AJOURNE",I37)))</formula>
    </cfRule>
  </conditionalFormatting>
  <dataValidations count="1">
    <dataValidation type="list" allowBlank="1" showInputMessage="1" showErrorMessage="1" sqref="I37 I12:I14 I17:I21 I23:I27 I29:I31 I33:I35" xr:uid="{13FF8772-0FB9-A742-BBE2-E8529EABAE1F}">
      <formula1>$K$3:$K$4</formula1>
    </dataValidation>
  </dataValidations>
  <pageMargins left="0.7" right="0.7" top="0.75" bottom="0.75" header="0.3" footer="0.3"/>
  <pageSetup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S1</vt:lpstr>
      <vt:lpstr>S2</vt:lpstr>
      <vt:lpstr>S3</vt:lpstr>
      <vt:lpstr>S4</vt:lpstr>
      <vt:lpstr>S5</vt:lpstr>
      <vt:lpstr>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 Ondias</dc:creator>
  <cp:lastModifiedBy>Luck Ondias</cp:lastModifiedBy>
  <cp:lastPrinted>2023-07-29T14:34:15Z</cp:lastPrinted>
  <dcterms:created xsi:type="dcterms:W3CDTF">2023-07-29T07:52:37Z</dcterms:created>
  <dcterms:modified xsi:type="dcterms:W3CDTF">2023-09-18T06:35:37Z</dcterms:modified>
</cp:coreProperties>
</file>